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State-wise LS Data" sheetId="3" state="visible" r:id="rId5"/>
    <sheet name="National Trend" sheetId="4" state="visible" r:id="rId6"/>
    <sheet name="Growth &amp; Delimit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<sst xmlns="http://schemas.openxmlformats.org/spreadsheetml/2006/main" count="197" uniqueCount="125">
  <si>
    <t xml:space="preserve">India Elections: Average Voters per Constituency — Dashboard</t>
  </si>
  <si>
    <t xml:space="preserve">Lok Sabha (2024) state-wise comparison, with population-growth context | Compiled June 2026</t>
  </si>
  <si>
    <t xml:space="preserve">All-India Avg Electors/LS Seat (2024)</t>
  </si>
  <si>
    <t xml:space="preserve">Highest State Avg Electors/Seat (Delhi)</t>
  </si>
  <si>
    <t xml:space="preserve">Total LS Seats (frozen since 1976)</t>
  </si>
  <si>
    <t xml:space="preserve">Growth in Avg Electors/Seat, 2014→2024</t>
  </si>
  <si>
    <t xml:space="preserve">Top 10 states by average electors per Lok Sabha constituency (2024)</t>
  </si>
  <si>
    <t xml:space="preserve">Bottom 10 states by average electors per Lok Sabha constituency (2024)</t>
  </si>
  <si>
    <t xml:space="preserve">State</t>
  </si>
  <si>
    <t xml:space="preserve">Avg Electors/Seat</t>
  </si>
  <si>
    <t xml:space="preserve">Delhi</t>
  </si>
  <si>
    <t xml:space="preserve">Lakshadweep</t>
  </si>
  <si>
    <t xml:space="preserve">Rajasthan</t>
  </si>
  <si>
    <t xml:space="preserve">Ladakh</t>
  </si>
  <si>
    <t xml:space="preserve">Haryana</t>
  </si>
  <si>
    <t xml:space="preserve">Dadra and Nagar Haveli and Daman and Diu</t>
  </si>
  <si>
    <t xml:space="preserve">Madhya Pradesh</t>
  </si>
  <si>
    <t xml:space="preserve">Andaman and Nicobar Islands</t>
  </si>
  <si>
    <t xml:space="preserve">Maharashtra</t>
  </si>
  <si>
    <t xml:space="preserve">Arunachal Pradesh</t>
  </si>
  <si>
    <t xml:space="preserve">Bihar</t>
  </si>
  <si>
    <t xml:space="preserve">Sikkim</t>
  </si>
  <si>
    <t xml:space="preserve">Uttar Pradesh</t>
  </si>
  <si>
    <t xml:space="preserve">Goa</t>
  </si>
  <si>
    <t xml:space="preserve">Chhattisgarh</t>
  </si>
  <si>
    <t xml:space="preserve">Chandigarh</t>
  </si>
  <si>
    <t xml:space="preserve">Gujarat</t>
  </si>
  <si>
    <t xml:space="preserve">Mizoram</t>
  </si>
  <si>
    <t xml:space="preserve">Jharkhand</t>
  </si>
  <si>
    <t xml:space="preserve">Puducherry</t>
  </si>
  <si>
    <t xml:space="preserve">Key takeaways</t>
  </si>
  <si>
    <t xml:space="preserve">1. Constituency size varies more than 6x across states — small/hill states (Lakshadweep, Sikkim, NE states) have under</t>
  </si>
  <si>
    <t xml:space="preserve">   1 lakh to ~5 lakh electors per seat, while large states' urban seats (Telangana's Malkajgiri, Karnataka's Bangalore North,</t>
  </si>
  <si>
    <t xml:space="preserve">   Maharashtra's Mumbai/Pune belt) exceed 30 lakh — a direct legacy of the 1976/2002 seat freeze not tracking growth.</t>
  </si>
  <si>
    <t xml:space="preserve">2. National average electors per LS seat rose from ~15.4 lakh (2014) to ~17.8 lakh (2024) — about 16% growth in a decade —</t>
  </si>
  <si>
    <t xml:space="preserve">   while the total seat count stayed at 543. Population is growing; representation slots are not.</t>
  </si>
  <si>
    <t xml:space="preserve">3. States with strong family-planning-driven population deceleration (e.g. southern states) now have smaller, denser-served</t>
  </si>
  <si>
    <t xml:space="preserve">   constituencies than fast-growing northern states (UP, Bihar) — a long-standing structural imbalance the freeze created.</t>
  </si>
  <si>
    <t xml:space="preserve">4. The Delimitation Bill, 2026 (introduced in Parliament 16 April 2026) proposes resetting the population basis to the 2011</t>
  </si>
  <si>
    <t xml:space="preserve">   Census and raising the Lok Sabha's maximum size from 550 to 850 seats — directly responding to the dilution this dashboard</t>
  </si>
  <si>
    <t xml:space="preserve">   quantifies. If enacted, expect a major reallocation toward higher-population states.</t>
  </si>
  <si>
    <t xml:space="preserve">India Election Data: Voters per Constituency — State-wise Analysis &amp; Growth Trends</t>
  </si>
  <si>
    <t xml:space="preserve">Scope: Lok Sabha (2014, 2019, 2024) + State Legislative Assemblies (current seat allocation), all-India, state-wise comparison.</t>
  </si>
  <si>
    <t xml:space="preserve">Sheet guide</t>
  </si>
  <si>
    <t xml:space="preserve">  1. State-wise LS Data — 2024 electors, seats, 2011 Census population, Assembly seats per state, with calculated averages.</t>
  </si>
  <si>
    <t xml:space="preserve">  2. National Trend — total electors, turnout and average electors/seat for 2014, 2019, 2024 Lok Sabha elections.</t>
  </si>
  <si>
    <t xml:space="preserve">  3. Growth &amp; Delimitation — population-per-seat using 1971 vs 2011 Census, flagging states most under/over-represented.</t>
  </si>
  <si>
    <t xml:space="preserve">  4. Dashboard — charts summarizing the above.</t>
  </si>
  <si>
    <t xml:space="preserve">Key methodology notes</t>
  </si>
  <si>
    <t xml:space="preserve">  • 'Average voters per constituency' = state's total registered electors (2024) ÷ number of Lok Sabha seats allotted to that state.</t>
  </si>
  <si>
    <t xml:space="preserve">  • Electors_2024 figures are aggregated by summing official constituency-level elector counts (ECI 2024 statistical reports, as</t>
  </si>
  <si>
    <t xml:space="preserve">    compiled in Wikipedia's 'List of constituencies of the Lok Sabha'). The sum of all states (97.36 crore) is within ~0.5% of the</t>
  </si>
  <si>
    <t xml:space="preserve">    Election Commission's officially announced final electoral roll figure of 96.88 crore — small variance likely reflects rounding</t>
  </si>
  <si>
    <t xml:space="preserve">    and the gap between the pre-poll published roll (cited nationally) and final constituency-level rolls used on polling day.</t>
  </si>
  <si>
    <t xml:space="preserve">    Treat state-level figures as accurate to within roughly 1% — suitable for comparative ranking, not for legal/statutory use.</t>
  </si>
  <si>
    <t xml:space="preserve">  • LS seats per state have been FROZEN since 1976 (based on 1971 Census) and remain frozen at the 2001-Census delimitation of</t>
  </si>
  <si>
    <t xml:space="preserve">    boundaries until after the first Census post-2026. This is the single most important structural fact behind this analysis:</t>
  </si>
  <si>
    <t xml:space="preserve">    seat counts do NOT track current population, so 'voters per constituency' varies enormously by state.</t>
  </si>
  <si>
    <t xml:space="preserve">  • A 2026 Delimitation Bill is currently before Parliament (introduced 16 April 2026) proposing to base future delimitation on</t>
  </si>
  <si>
    <t xml:space="preserve">    the 2011 Census (not 1971) and raise the maximum Lok Sabha size from 550 to 850 seats. This would directly address the</t>
  </si>
  <si>
    <t xml:space="preserve">    imbalances quantified in this workbook. Source: PRS Legislative Research, accessed June 2026.</t>
  </si>
  <si>
    <t xml:space="preserve">  • Assembly (Vidhan Sabha) seat counts are current allocations per state, used for cross-check of national vs state-level</t>
  </si>
  <si>
    <t xml:space="preserve">    representation density.</t>
  </si>
  <si>
    <t xml:space="preserve">Sources</t>
  </si>
  <si>
    <t xml:space="preserve">  • Election Commission of India — 2024 Lok Sabha statistical reports (constituency-wise electors)</t>
  </si>
  <si>
    <t xml:space="preserve">  • Census of India 2011 — state population (basis for current constituency delimitation)</t>
  </si>
  <si>
    <t xml:space="preserve">  • Wikipedia: 'List of constituencies of the Lok Sabha', 'Lok Sabha', 'Delimitation Commission of India' (compiled ECI/Census data)</t>
  </si>
  <si>
    <t xml:space="preserve">  • PRS Legislative Research — The Delimitation Bill, 2026 (introduced 16 April 2026)</t>
  </si>
  <si>
    <t xml:space="preserve">  • PIB / BusinessToday — national elector totals 2014/2019/2024</t>
  </si>
  <si>
    <t xml:space="preserve">Caveat</t>
  </si>
  <si>
    <t xml:space="preserve">  This is a desk compilation from public sources for analytical/comparative purposes, not an official ECI publication.</t>
  </si>
  <si>
    <t xml:space="preserve">  Figures for 2014/2019 national totals are approximate (rounded to nearest 0.1 crore) pending full constituency-level</t>
  </si>
  <si>
    <t xml:space="preserve">  reconciliation; treat the 2024 state-wise breakdown as the most granular and reliable layer in this workbook.</t>
  </si>
  <si>
    <t xml:space="preserve">State-wise Lok Sabha Constituency &amp; Population Data (2024 election / 2011 Census)</t>
  </si>
  <si>
    <t xml:space="preserve">LS Seats (2024)</t>
  </si>
  <si>
    <t xml:space="preserve">Electors (2024)</t>
  </si>
  <si>
    <t xml:space="preserve">2011 Census Population</t>
  </si>
  <si>
    <t xml:space="preserve">Pop per Seat (2011)</t>
  </si>
  <si>
    <t xml:space="preserve">Assembly Seats</t>
  </si>
  <si>
    <t xml:space="preserve">Avg Pop/Assembly Seat</t>
  </si>
  <si>
    <t xml:space="preserve">LS:Assembly Seat Ratio</t>
  </si>
  <si>
    <t xml:space="preserve">West Bengal</t>
  </si>
  <si>
    <t xml:space="preserve">Tamil Nadu</t>
  </si>
  <si>
    <t xml:space="preserve">Karnataka</t>
  </si>
  <si>
    <t xml:space="preserve">Andhra Pradesh</t>
  </si>
  <si>
    <t xml:space="preserve">Odisha</t>
  </si>
  <si>
    <t xml:space="preserve">Kerala</t>
  </si>
  <si>
    <t xml:space="preserve">Telangana</t>
  </si>
  <si>
    <t xml:space="preserve">Assam</t>
  </si>
  <si>
    <t xml:space="preserve">Punjab</t>
  </si>
  <si>
    <t xml:space="preserve">Uttarakhand</t>
  </si>
  <si>
    <t xml:space="preserve">Jammu and Kashmir</t>
  </si>
  <si>
    <t xml:space="preserve">Himachal Pradesh</t>
  </si>
  <si>
    <t xml:space="preserve">Manipur</t>
  </si>
  <si>
    <t xml:space="preserve">Meghalaya</t>
  </si>
  <si>
    <t xml:space="preserve">Tripura</t>
  </si>
  <si>
    <t xml:space="preserve">Nagaland</t>
  </si>
  <si>
    <t xml:space="preserve">—</t>
  </si>
  <si>
    <t xml:space="preserve">ALL-INDIA TOTAL / AVERAGE</t>
  </si>
  <si>
    <t xml:space="preserve">Highest avg electors/seat:</t>
  </si>
  <si>
    <t xml:space="preserve">Lowest avg electors/seat:</t>
  </si>
  <si>
    <t xml:space="preserve">National average (unweighted, mean of states):</t>
  </si>
  <si>
    <t xml:space="preserve">Note: Electors_2024 aggregated from ECI constituency-level data; ~0.5% variance vs official 96.88cr national figure (see README).</t>
  </si>
  <si>
    <t xml:space="preserve">National Lok Sabha Trend: Electors, Turnout &amp; Seats (2014–2024)</t>
  </si>
  <si>
    <t xml:space="preserve">Election Year</t>
  </si>
  <si>
    <t xml:space="preserve">Total Registered Electors</t>
  </si>
  <si>
    <t xml:space="preserve">Turnout (%)</t>
  </si>
  <si>
    <t xml:space="preserve">Votes Cast</t>
  </si>
  <si>
    <t xml:space="preserve">LS Seats Contested</t>
  </si>
  <si>
    <t xml:space="preserve">Avg Electors per Seat</t>
  </si>
  <si>
    <t xml:space="preserve">Growth 2014→2024 (electors):</t>
  </si>
  <si>
    <t xml:space="preserve">Growth 2014→2024 (avg electors/seat):</t>
  </si>
  <si>
    <t xml:space="preserve">LS seats, 2014 vs 2024:</t>
  </si>
  <si>
    <t xml:space="preserve">Interpretation:</t>
  </si>
  <si>
    <t xml:space="preserve">Electorate grew ~16% per seat in a decade while seat count stayed essentially flat — representation is diluting.</t>
  </si>
  <si>
    <t xml:space="preserve">Note: 2014/2019 figures are rounded approximations from ECI/PIB releases pending full constituency-level reconciliation;</t>
  </si>
  <si>
    <t xml:space="preserve">2024 figure (96.88cr) is the EC's officially announced final electoral roll total. See README for sourcing.</t>
  </si>
  <si>
    <t xml:space="preserve">Population Growth vs. Representation: Which States Are Over/Under-Represented</t>
  </si>
  <si>
    <t xml:space="preserve">Basis: LS seats frozen since 1976 at 1971-Census proportions; current constituency boundaries based on 2001 Census; population shown is 2011 Census (latest available).</t>
  </si>
  <si>
    <t xml:space="preserve">LS Seats</t>
  </si>
  <si>
    <t xml:space="preserve">All-India Avg Pop/Seat (2011)</t>
  </si>
  <si>
    <t xml:space="preserve">Index vs All-India Avg (=100)</t>
  </si>
  <si>
    <t xml:space="preserve">Representation Status</t>
  </si>
  <si>
    <t xml:space="preserve">Index &gt; 110 (red): state's avg constituency carries notably MORE people per seat than national average → under-represented</t>
  </si>
  <si>
    <t xml:space="preserve">Index &lt; 90 (green): state's avg constituency carries notably FEWER people per seat → over-represented relative to its population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</si>
</sst>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%"/>
    <numFmt numFmtId="168" formatCode="0.00"/>
    <numFmt numFmtId="169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1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AF1F8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0B4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10: Highest avg electors per LS seat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Avg Electors/Seat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Dashboard!$A$10:$A$19</c:f>
              <c:strCache>
                <c:ptCount val="10"/>
                <c:pt idx="0">
                  <c:v>Delhi</c:v>
                </c:pt>
                <c:pt idx="1">
                  <c:v>Rajasthan</c:v>
                </c:pt>
                <c:pt idx="2">
                  <c:v>Haryana</c:v>
                </c:pt>
                <c:pt idx="3">
                  <c:v>Madhya Pradesh</c:v>
                </c:pt>
                <c:pt idx="4">
                  <c:v>Maharashtra</c:v>
                </c:pt>
                <c:pt idx="5">
                  <c:v>Bihar</c:v>
                </c:pt>
                <c:pt idx="6">
                  <c:v>Uttar Pradesh</c:v>
                </c:pt>
                <c:pt idx="7">
                  <c:v>Chhattisgarh</c:v>
                </c:pt>
                <c:pt idx="8">
                  <c:v>Gujarat</c:v>
                </c:pt>
                <c:pt idx="9">
                  <c:v>Jharkhand</c:v>
                </c:pt>
              </c:strCache>
            </c:strRef>
          </c:cat>
          <c:val>
            <c:numRef>
              <c:f>Dashboard!$B$10:$B$19</c:f>
              <c:numCache>
                <c:formatCode>#,##0</c:formatCode>
                <c:ptCount val="10"/>
                <c:pt idx="0">
                  <c:v>2245034</c:v>
                </c:pt>
                <c:pt idx="1">
                  <c:v>2146463</c:v>
                </c:pt>
                <c:pt idx="2">
                  <c:v>2038811</c:v>
                </c:pt>
                <c:pt idx="3">
                  <c:v>1957579</c:v>
                </c:pt>
                <c:pt idx="4">
                  <c:v>1955927</c:v>
                </c:pt>
                <c:pt idx="5">
                  <c:v>1935488</c:v>
                </c:pt>
                <c:pt idx="6">
                  <c:v>1929307</c:v>
                </c:pt>
                <c:pt idx="7">
                  <c:v>1890787</c:v>
                </c:pt>
                <c:pt idx="8">
                  <c:v>1886791</c:v>
                </c:pt>
                <c:pt idx="9">
                  <c:v>1866407</c:v>
                </c:pt>
              </c:numCache>
            </c:numRef>
          </c:val>
        </c:ser>
        <c:gapWidth val="150"/>
        <c:overlap val="0"/>
        <c:axId val="5195382"/>
        <c:axId val="15148930"/>
      </c:barChart>
      <c:catAx>
        <c:axId val="5195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48930"/>
        <c:crosses val="autoZero"/>
        <c:auto val="1"/>
        <c:lblAlgn val="ctr"/>
        <c:lblOffset val="100"/>
        <c:noMultiLvlLbl val="0"/>
      </c:catAx>
      <c:valAx>
        <c:axId val="151489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95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Bottom 10: Lowest avg electors per LS seat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Dashboard!E9</c:f>
              <c:strCache>
                <c:ptCount val="1"/>
                <c:pt idx="0">
                  <c:v>Avg Electors/Seat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Dashboard!$D$10:$D$19</c:f>
              <c:strCache>
                <c:ptCount val="10"/>
                <c:pt idx="0">
                  <c:v>Lakshadweep</c:v>
                </c:pt>
                <c:pt idx="1">
                  <c:v>Ladakh</c:v>
                </c:pt>
                <c:pt idx="2">
                  <c:v>Dadra and Nagar Haveli and Daman and Diu</c:v>
                </c:pt>
                <c:pt idx="3">
                  <c:v>Andaman and Nicobar Islands</c:v>
                </c:pt>
                <c:pt idx="4">
                  <c:v>Arunachal Pradesh</c:v>
                </c:pt>
                <c:pt idx="5">
                  <c:v>Sikkim</c:v>
                </c:pt>
                <c:pt idx="6">
                  <c:v>Goa</c:v>
                </c:pt>
                <c:pt idx="7">
                  <c:v>Chandigarh</c:v>
                </c:pt>
                <c:pt idx="8">
                  <c:v>Mizoram</c:v>
                </c:pt>
                <c:pt idx="9">
                  <c:v>Puducherry</c:v>
                </c:pt>
              </c:strCache>
            </c:strRef>
          </c:cat>
          <c:val>
            <c:numRef>
              <c:f>Dashboard!$E$10:$E$19</c:f>
              <c:numCache>
                <c:formatCode>#,##0</c:formatCode>
                <c:ptCount val="10"/>
                <c:pt idx="0">
                  <c:v>57953</c:v>
                </c:pt>
                <c:pt idx="1">
                  <c:v>190576</c:v>
                </c:pt>
                <c:pt idx="2">
                  <c:v>208618</c:v>
                </c:pt>
                <c:pt idx="3">
                  <c:v>315745</c:v>
                </c:pt>
                <c:pt idx="4">
                  <c:v>449221</c:v>
                </c:pt>
                <c:pt idx="5">
                  <c:v>466643</c:v>
                </c:pt>
                <c:pt idx="6">
                  <c:v>589822</c:v>
                </c:pt>
                <c:pt idx="7">
                  <c:v>660552</c:v>
                </c:pt>
                <c:pt idx="8">
                  <c:v>861327</c:v>
                </c:pt>
                <c:pt idx="9">
                  <c:v>1024024</c:v>
                </c:pt>
              </c:numCache>
            </c:numRef>
          </c:val>
        </c:ser>
        <c:gapWidth val="150"/>
        <c:overlap val="0"/>
        <c:axId val="15727690"/>
        <c:axId val="65393081"/>
      </c:barChart>
      <c:catAx>
        <c:axId val="157276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93081"/>
        <c:crosses val="autoZero"/>
        <c:auto val="1"/>
        <c:lblAlgn val="ctr"/>
        <c:lblOffset val="100"/>
        <c:noMultiLvlLbl val="0"/>
      </c:catAx>
      <c:valAx>
        <c:axId val="65393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27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Electors per Lok Sabha Seat (2014–2024)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'National Trend'!F3</c:f>
              <c:strCache>
                <c:ptCount val="1"/>
                <c:pt idx="0">
                  <c:v>Avg Electors per Seat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'National Trend'!$A$4:$A$6</c:f>
              <c:strCache>
                <c:ptCount val="3"/>
                <c:pt idx="0">
                  <c:v>2014</c:v>
                </c:pt>
                <c:pt idx="1">
                  <c:v>2019</c:v>
                </c:pt>
                <c:pt idx="2">
                  <c:v>2024</c:v>
                </c:pt>
              </c:strCache>
            </c:strRef>
          </c:cat>
          <c:val>
            <c:numRef>
              <c:f>'National Trend'!$F$4:$F$6</c:f>
              <c:numCache>
                <c:formatCode>#,##0</c:formatCode>
                <c:ptCount val="3"/>
                <c:pt idx="0">
                  <c:v>1535911.60220994</c:v>
                </c:pt>
                <c:pt idx="1">
                  <c:v>1680811.80811808</c:v>
                </c:pt>
                <c:pt idx="2">
                  <c:v>1784162.0626151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557178"/>
        <c:axId val="44750736"/>
      </c:lineChart>
      <c:catAx>
        <c:axId val="795571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Election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50736"/>
        <c:crosses val="autoZero"/>
        <c:auto val="1"/>
        <c:lblAlgn val="ctr"/>
        <c:lblOffset val="100"/>
        <c:noMultiLvlLbl val="0"/>
      </c:catAx>
      <c:valAx>
        <c:axId val="44750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Electors per Seat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571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Representation Index by State (2011 Census pop per LS seat, All-India = 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'Growth &amp; Delimitation'!F4</c:f>
              <c:strCache>
                <c:ptCount val="1"/>
                <c:pt idx="0">
                  <c:v>Index vs All-India Avg (=100)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&amp; Delimitation'!$A$5:$A$35</c:f>
              <c:strCache>
                <c:ptCount val="31"/>
                <c:pt idx="0">
                  <c:v>Uttar Pradesh</c:v>
                </c:pt>
                <c:pt idx="1">
                  <c:v>Maharashtra</c:v>
                </c:pt>
                <c:pt idx="2">
                  <c:v>West Bengal</c:v>
                </c:pt>
                <c:pt idx="3">
                  <c:v>Bihar</c:v>
                </c:pt>
                <c:pt idx="4">
                  <c:v>Tamil Nadu</c:v>
                </c:pt>
                <c:pt idx="5">
                  <c:v>Madhya Pradesh</c:v>
                </c:pt>
                <c:pt idx="6">
                  <c:v>Karnataka</c:v>
                </c:pt>
                <c:pt idx="7">
                  <c:v>Gujarat</c:v>
                </c:pt>
                <c:pt idx="8">
                  <c:v>Rajasthan</c:v>
                </c:pt>
                <c:pt idx="9">
                  <c:v>Andhra Pradesh</c:v>
                </c:pt>
                <c:pt idx="10">
                  <c:v>Odisha</c:v>
                </c:pt>
                <c:pt idx="11">
                  <c:v>Kerala</c:v>
                </c:pt>
                <c:pt idx="12">
                  <c:v>Telangana</c:v>
                </c:pt>
                <c:pt idx="13">
                  <c:v>Jharkhand</c:v>
                </c:pt>
                <c:pt idx="14">
                  <c:v>Assam</c:v>
                </c:pt>
                <c:pt idx="15">
                  <c:v>Punjab</c:v>
                </c:pt>
                <c:pt idx="16">
                  <c:v>Chhattisgarh</c:v>
                </c:pt>
                <c:pt idx="17">
                  <c:v>Haryana</c:v>
                </c:pt>
                <c:pt idx="18">
                  <c:v>Delhi</c:v>
                </c:pt>
                <c:pt idx="19">
                  <c:v>Jammu and Kashmir</c:v>
                </c:pt>
                <c:pt idx="20">
                  <c:v>Uttarakhand</c:v>
                </c:pt>
                <c:pt idx="21">
                  <c:v>Himachal Pradesh</c:v>
                </c:pt>
                <c:pt idx="22">
                  <c:v>Arunachal Pradesh</c:v>
                </c:pt>
                <c:pt idx="23">
                  <c:v>Manipur</c:v>
                </c:pt>
                <c:pt idx="24">
                  <c:v>Goa</c:v>
                </c:pt>
                <c:pt idx="25">
                  <c:v>Tripura</c:v>
                </c:pt>
                <c:pt idx="26">
                  <c:v>Meghalaya</c:v>
                </c:pt>
                <c:pt idx="27">
                  <c:v>Sikkim</c:v>
                </c:pt>
                <c:pt idx="28">
                  <c:v>Nagaland</c:v>
                </c:pt>
                <c:pt idx="29">
                  <c:v>Mizoram</c:v>
                </c:pt>
                <c:pt idx="30">
                  <c:v>Puducherry</c:v>
                </c:pt>
              </c:strCache>
            </c:strRef>
          </c:cat>
          <c:val>
            <c:numRef>
              <c:f>'Growth &amp; Delimitation'!$F$5:$F$35</c:f>
              <c:numCache>
                <c:formatCode>0.0</c:formatCode>
                <c:ptCount val="31"/>
                <c:pt idx="0">
                  <c:v>111.010729289927</c:v>
                </c:pt>
                <c:pt idx="1">
                  <c:v>104.053938788822</c:v>
                </c:pt>
                <c:pt idx="2">
                  <c:v>96.5918515837744</c:v>
                </c:pt>
                <c:pt idx="3">
                  <c:v>115.670093522419</c:v>
                </c:pt>
                <c:pt idx="4">
                  <c:v>82.2217063328895</c:v>
                </c:pt>
                <c:pt idx="5">
                  <c:v>111.309338003443</c:v>
                </c:pt>
                <c:pt idx="6">
                  <c:v>96.9800455511929</c:v>
                </c:pt>
                <c:pt idx="7">
                  <c:v>103.319317644974</c:v>
                </c:pt>
                <c:pt idx="8">
                  <c:v>121.86813999529</c:v>
                </c:pt>
                <c:pt idx="9">
                  <c:v>88.140147221226</c:v>
                </c:pt>
                <c:pt idx="10">
                  <c:v>88.8374254752811</c:v>
                </c:pt>
                <c:pt idx="11">
                  <c:v>74.2382812944227</c:v>
                </c:pt>
                <c:pt idx="12">
                  <c:v>91.5160662100939</c:v>
                </c:pt>
                <c:pt idx="13">
                  <c:v>104.72788889033</c:v>
                </c:pt>
                <c:pt idx="14">
                  <c:v>99.0687771574696</c:v>
                </c:pt>
                <c:pt idx="15">
                  <c:v>94.8523282135145</c:v>
                </c:pt>
                <c:pt idx="16">
                  <c:v>103.216522450044</c:v>
                </c:pt>
                <c:pt idx="17">
                  <c:v>112.677095763004</c:v>
                </c:pt>
                <c:pt idx="18">
                  <c:v>106.593820659599</c:v>
                </c:pt>
                <c:pt idx="19">
                  <c:v>109.044089006924</c:v>
                </c:pt>
                <c:pt idx="20">
                  <c:v>89.6590571050787</c:v>
                </c:pt>
                <c:pt idx="21">
                  <c:v>76.2760168357258</c:v>
                </c:pt>
                <c:pt idx="22">
                  <c:v>30.7505617799979</c:v>
                </c:pt>
                <c:pt idx="23">
                  <c:v>57.1217707638058</c:v>
                </c:pt>
                <c:pt idx="24">
                  <c:v>32.4132420133502</c:v>
                </c:pt>
                <c:pt idx="25">
                  <c:v>81.6454486203452</c:v>
                </c:pt>
                <c:pt idx="26">
                  <c:v>65.9331670834609</c:v>
                </c:pt>
                <c:pt idx="27">
                  <c:v>27.1377023935296</c:v>
                </c:pt>
                <c:pt idx="28">
                  <c:v>87.936490337833</c:v>
                </c:pt>
                <c:pt idx="29">
                  <c:v>48.7664125776028</c:v>
                </c:pt>
                <c:pt idx="30">
                  <c:v>55.466513011647</c:v>
                </c:pt>
              </c:numCache>
            </c:numRef>
          </c:val>
        </c:ser>
        <c:gapWidth val="150"/>
        <c:overlap val="0"/>
        <c:axId val="76202917"/>
        <c:axId val="31160596"/>
      </c:barChart>
      <c:catAx>
        <c:axId val="762029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60596"/>
        <c:crosses val="autoZero"/>
        <c:auto val="1"/>
        <c:lblAlgn val="ctr"/>
        <c:lblOffset val="100"/>
        <c:noMultiLvlLbl val="0"/>
      </c:catAx>
      <c:valAx>
        <c:axId val="311605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02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130680</xdr:rowOff>
    </xdr:from>
    <xdr:to>
      <xdr:col>4</xdr:col>
      <xdr:colOff>966600</xdr:colOff>
      <xdr:row>36</xdr:row>
      <xdr:rowOff>131760</xdr:rowOff>
    </xdr:to>
    <xdr:graphicFrame>
      <xdr:nvGraphicFramePr>
        <xdr:cNvPr id="0" name="Chart 1"/>
        <xdr:cNvGraphicFramePr/>
      </xdr:nvGraphicFramePr>
      <xdr:xfrm>
        <a:off x="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19</xdr:row>
      <xdr:rowOff>130680</xdr:rowOff>
    </xdr:from>
    <xdr:to>
      <xdr:col>17</xdr:col>
      <xdr:colOff>255960</xdr:colOff>
      <xdr:row>36</xdr:row>
      <xdr:rowOff>131760</xdr:rowOff>
    </xdr:to>
    <xdr:graphicFrame>
      <xdr:nvGraphicFramePr>
        <xdr:cNvPr id="1" name="Chart 2"/>
        <xdr:cNvGraphicFramePr/>
      </xdr:nvGraphicFramePr>
      <xdr:xfrm>
        <a:off x="6766560" y="380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48240</xdr:rowOff>
    </xdr:from>
    <xdr:to>
      <xdr:col>4</xdr:col>
      <xdr:colOff>684720</xdr:colOff>
      <xdr:row>25</xdr:row>
      <xdr:rowOff>70560</xdr:rowOff>
    </xdr:to>
    <xdr:graphicFrame>
      <xdr:nvGraphicFramePr>
        <xdr:cNvPr id="2" name="Chart 1"/>
        <xdr:cNvGraphicFramePr/>
      </xdr:nvGraphicFramePr>
      <xdr:xfrm>
        <a:off x="0" y="2095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18</xdr:col>
      <xdr:colOff>364680</xdr:colOff>
      <xdr:row>32</xdr:row>
      <xdr:rowOff>93240</xdr:rowOff>
    </xdr:to>
    <xdr:graphicFrame>
      <xdr:nvGraphicFramePr>
        <xdr:cNvPr id="3" name="Chart 1"/>
        <xdr:cNvGraphicFramePr/>
      </xdr:nvGraphicFramePr>
      <xdr:xfrm>
        <a:off x="10690920" y="571680"/>
        <a:ext cx="64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8" min="6" style="0" width="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5" hidden="false" customHeight="false" outlineLevel="0" collapsed="false">
      <c r="A5" s="4" t="n">
        <f aca="false">'State-wise LS Data'!D39</f>
        <v>1793065.95027624</v>
      </c>
      <c r="B5" s="4"/>
      <c r="C5" s="4" t="n">
        <f aca="false">'State-wise LS Data'!D21</f>
        <v>2245034</v>
      </c>
      <c r="D5" s="4"/>
      <c r="E5" s="5" t="n">
        <f aca="false">'State-wise LS Data'!B39</f>
        <v>543</v>
      </c>
      <c r="F5" s="5"/>
      <c r="G5" s="6" t="n">
        <f aca="false">'National Trend'!B9</f>
        <v>0.161630695443645</v>
      </c>
      <c r="H5" s="6"/>
    </row>
    <row r="6" customFormat="false" ht="15" hidden="false" customHeight="false" outlineLevel="0" collapsed="false">
      <c r="A6" s="4"/>
      <c r="B6" s="4"/>
      <c r="C6" s="4"/>
      <c r="D6" s="4"/>
      <c r="E6" s="5"/>
      <c r="F6" s="5"/>
      <c r="G6" s="6"/>
      <c r="H6" s="6"/>
    </row>
    <row r="8" customFormat="false" ht="15" hidden="false" customHeight="false" outlineLevel="0" collapsed="false">
      <c r="A8" s="7" t="s">
        <v>6</v>
      </c>
      <c r="D8" s="7" t="s">
        <v>7</v>
      </c>
    </row>
    <row r="9" customFormat="false" ht="15" hidden="false" customHeight="false" outlineLevel="0" collapsed="false">
      <c r="A9" s="8" t="s">
        <v>8</v>
      </c>
      <c r="B9" s="8" t="s">
        <v>9</v>
      </c>
      <c r="D9" s="8" t="s">
        <v>8</v>
      </c>
      <c r="E9" s="8" t="s">
        <v>9</v>
      </c>
    </row>
    <row r="10" customFormat="false" ht="15" hidden="false" customHeight="false" outlineLevel="0" collapsed="false">
      <c r="A10" s="9" t="s">
        <v>10</v>
      </c>
      <c r="B10" s="10" t="n">
        <v>2245034</v>
      </c>
      <c r="D10" s="9" t="s">
        <v>11</v>
      </c>
      <c r="E10" s="10" t="n">
        <v>57953</v>
      </c>
    </row>
    <row r="11" customFormat="false" ht="15" hidden="false" customHeight="false" outlineLevel="0" collapsed="false">
      <c r="A11" s="9" t="s">
        <v>12</v>
      </c>
      <c r="B11" s="10" t="n">
        <v>2146463</v>
      </c>
      <c r="D11" s="9" t="s">
        <v>13</v>
      </c>
      <c r="E11" s="10" t="n">
        <v>190576</v>
      </c>
    </row>
    <row r="12" customFormat="false" ht="15" hidden="false" customHeight="false" outlineLevel="0" collapsed="false">
      <c r="A12" s="9" t="s">
        <v>14</v>
      </c>
      <c r="B12" s="10" t="n">
        <v>2038811</v>
      </c>
      <c r="D12" s="9" t="s">
        <v>15</v>
      </c>
      <c r="E12" s="10" t="n">
        <v>208618</v>
      </c>
    </row>
    <row r="13" customFormat="false" ht="15" hidden="false" customHeight="false" outlineLevel="0" collapsed="false">
      <c r="A13" s="9" t="s">
        <v>16</v>
      </c>
      <c r="B13" s="10" t="n">
        <v>1957579</v>
      </c>
      <c r="D13" s="9" t="s">
        <v>17</v>
      </c>
      <c r="E13" s="10" t="n">
        <v>315745</v>
      </c>
    </row>
    <row r="14" customFormat="false" ht="15" hidden="false" customHeight="false" outlineLevel="0" collapsed="false">
      <c r="A14" s="9" t="s">
        <v>18</v>
      </c>
      <c r="B14" s="10" t="n">
        <v>1955927</v>
      </c>
      <c r="D14" s="9" t="s">
        <v>19</v>
      </c>
      <c r="E14" s="10" t="n">
        <v>449221</v>
      </c>
    </row>
    <row r="15" customFormat="false" ht="15" hidden="false" customHeight="false" outlineLevel="0" collapsed="false">
      <c r="A15" s="9" t="s">
        <v>20</v>
      </c>
      <c r="B15" s="10" t="n">
        <v>1935488</v>
      </c>
      <c r="D15" s="9" t="s">
        <v>21</v>
      </c>
      <c r="E15" s="10" t="n">
        <v>466643</v>
      </c>
    </row>
    <row r="16" customFormat="false" ht="15" hidden="false" customHeight="false" outlineLevel="0" collapsed="false">
      <c r="A16" s="9" t="s">
        <v>22</v>
      </c>
      <c r="B16" s="10" t="n">
        <v>1929307</v>
      </c>
      <c r="D16" s="9" t="s">
        <v>23</v>
      </c>
      <c r="E16" s="10" t="n">
        <v>589822</v>
      </c>
    </row>
    <row r="17" customFormat="false" ht="15" hidden="false" customHeight="false" outlineLevel="0" collapsed="false">
      <c r="A17" s="9" t="s">
        <v>24</v>
      </c>
      <c r="B17" s="10" t="n">
        <v>1890787</v>
      </c>
      <c r="D17" s="9" t="s">
        <v>25</v>
      </c>
      <c r="E17" s="10" t="n">
        <v>660552</v>
      </c>
    </row>
    <row r="18" customFormat="false" ht="15" hidden="false" customHeight="false" outlineLevel="0" collapsed="false">
      <c r="A18" s="9" t="s">
        <v>26</v>
      </c>
      <c r="B18" s="10" t="n">
        <v>1886791</v>
      </c>
      <c r="D18" s="9" t="s">
        <v>27</v>
      </c>
      <c r="E18" s="10" t="n">
        <v>861327</v>
      </c>
    </row>
    <row r="19" customFormat="false" ht="15" hidden="false" customHeight="false" outlineLevel="0" collapsed="false">
      <c r="A19" s="9" t="s">
        <v>28</v>
      </c>
      <c r="B19" s="10" t="n">
        <v>1866407</v>
      </c>
      <c r="D19" s="9" t="s">
        <v>29</v>
      </c>
      <c r="E19" s="10" t="n">
        <v>1024024</v>
      </c>
    </row>
    <row r="40" customFormat="false" ht="15" hidden="false" customHeight="false" outlineLevel="0" collapsed="false">
      <c r="A40" s="7" t="s">
        <v>30</v>
      </c>
    </row>
    <row r="41" customFormat="false" ht="15" hidden="false" customHeight="false" outlineLevel="0" collapsed="false">
      <c r="A41" s="11" t="s">
        <v>31</v>
      </c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1" t="s">
        <v>32</v>
      </c>
      <c r="B42" s="11"/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1" t="s">
        <v>33</v>
      </c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1" t="s">
        <v>34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 t="s">
        <v>35</v>
      </c>
      <c r="B45" s="11"/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1" t="s">
        <v>36</v>
      </c>
      <c r="B46" s="11"/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1" t="s">
        <v>37</v>
      </c>
      <c r="B47" s="11"/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 t="s">
        <v>38</v>
      </c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 t="s">
        <v>39</v>
      </c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 t="s">
        <v>40</v>
      </c>
      <c r="B50" s="11"/>
      <c r="C50" s="11"/>
      <c r="D50" s="11"/>
      <c r="E50" s="11"/>
      <c r="F50" s="11"/>
      <c r="G50" s="11"/>
      <c r="H50" s="11"/>
    </row>
  </sheetData>
  <mergeCells count="20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2" t="s">
        <v>41</v>
      </c>
    </row>
    <row r="3" customFormat="false" ht="15" hidden="false" customHeight="false" outlineLevel="0" collapsed="false">
      <c r="A3" s="13" t="s">
        <v>42</v>
      </c>
    </row>
    <row r="5" customFormat="false" ht="15" hidden="false" customHeight="false" outlineLevel="0" collapsed="false">
      <c r="A5" s="14" t="s">
        <v>43</v>
      </c>
    </row>
    <row r="6" customFormat="false" ht="15" hidden="false" customHeight="false" outlineLevel="0" collapsed="false">
      <c r="A6" s="13" t="s">
        <v>44</v>
      </c>
    </row>
    <row r="7" customFormat="false" ht="15" hidden="false" customHeight="false" outlineLevel="0" collapsed="false">
      <c r="A7" s="13" t="s">
        <v>45</v>
      </c>
    </row>
    <row r="8" customFormat="false" ht="15" hidden="false" customHeight="false" outlineLevel="0" collapsed="false">
      <c r="A8" s="13" t="s">
        <v>46</v>
      </c>
    </row>
    <row r="9" customFormat="false" ht="15" hidden="false" customHeight="false" outlineLevel="0" collapsed="false">
      <c r="A9" s="13" t="s">
        <v>47</v>
      </c>
    </row>
    <row r="10" customFormat="false" ht="15" hidden="false" customHeight="false" outlineLevel="0" collapsed="false">
      <c r="A10" s="13"/>
    </row>
    <row r="11" customFormat="false" ht="15" hidden="false" customHeight="false" outlineLevel="0" collapsed="false">
      <c r="A11" s="14" t="s">
        <v>48</v>
      </c>
    </row>
    <row r="12" customFormat="false" ht="15" hidden="false" customHeight="false" outlineLevel="0" collapsed="false">
      <c r="A12" s="13" t="s">
        <v>49</v>
      </c>
    </row>
    <row r="13" customFormat="false" ht="15" hidden="false" customHeight="false" outlineLevel="0" collapsed="false">
      <c r="A13" s="13" t="s">
        <v>50</v>
      </c>
    </row>
    <row r="14" customFormat="false" ht="15" hidden="false" customHeight="false" outlineLevel="0" collapsed="false">
      <c r="A14" s="13" t="s">
        <v>51</v>
      </c>
    </row>
    <row r="15" customFormat="false" ht="15" hidden="false" customHeight="false" outlineLevel="0" collapsed="false">
      <c r="A15" s="13" t="s">
        <v>52</v>
      </c>
    </row>
    <row r="16" customFormat="false" ht="15" hidden="false" customHeight="false" outlineLevel="0" collapsed="false">
      <c r="A16" s="13" t="s">
        <v>53</v>
      </c>
    </row>
    <row r="17" customFormat="false" ht="15" hidden="false" customHeight="false" outlineLevel="0" collapsed="false">
      <c r="A17" s="13" t="s">
        <v>54</v>
      </c>
    </row>
    <row r="18" customFormat="false" ht="15" hidden="false" customHeight="false" outlineLevel="0" collapsed="false">
      <c r="A18" s="13" t="s">
        <v>55</v>
      </c>
    </row>
    <row r="19" customFormat="false" ht="15" hidden="false" customHeight="false" outlineLevel="0" collapsed="false">
      <c r="A19" s="13" t="s">
        <v>56</v>
      </c>
    </row>
    <row r="20" customFormat="false" ht="15" hidden="false" customHeight="false" outlineLevel="0" collapsed="false">
      <c r="A20" s="13" t="s">
        <v>57</v>
      </c>
    </row>
    <row r="21" customFormat="false" ht="15" hidden="false" customHeight="false" outlineLevel="0" collapsed="false">
      <c r="A21" s="13" t="s">
        <v>58</v>
      </c>
    </row>
    <row r="22" customFormat="false" ht="15" hidden="false" customHeight="false" outlineLevel="0" collapsed="false">
      <c r="A22" s="13" t="s">
        <v>59</v>
      </c>
    </row>
    <row r="23" customFormat="false" ht="15" hidden="false" customHeight="false" outlineLevel="0" collapsed="false">
      <c r="A23" s="13" t="s">
        <v>60</v>
      </c>
    </row>
    <row r="24" customFormat="false" ht="15" hidden="false" customHeight="false" outlineLevel="0" collapsed="false">
      <c r="A24" s="13" t="s">
        <v>61</v>
      </c>
    </row>
    <row r="25" customFormat="false" ht="15" hidden="false" customHeight="false" outlineLevel="0" collapsed="false">
      <c r="A25" s="13" t="s">
        <v>62</v>
      </c>
    </row>
    <row r="26" customFormat="false" ht="15" hidden="false" customHeight="false" outlineLevel="0" collapsed="false">
      <c r="A26" s="13"/>
    </row>
    <row r="27" customFormat="false" ht="15" hidden="false" customHeight="false" outlineLevel="0" collapsed="false">
      <c r="A27" s="14" t="s">
        <v>63</v>
      </c>
    </row>
    <row r="28" customFormat="false" ht="15" hidden="false" customHeight="false" outlineLevel="0" collapsed="false">
      <c r="A28" s="13" t="s">
        <v>64</v>
      </c>
    </row>
    <row r="29" customFormat="false" ht="15" hidden="false" customHeight="false" outlineLevel="0" collapsed="false">
      <c r="A29" s="13" t="s">
        <v>65</v>
      </c>
    </row>
    <row r="30" customFormat="false" ht="15" hidden="false" customHeight="false" outlineLevel="0" collapsed="false">
      <c r="A30" s="13" t="s">
        <v>66</v>
      </c>
    </row>
    <row r="31" customFormat="false" ht="15" hidden="false" customHeight="false" outlineLevel="0" collapsed="false">
      <c r="A31" s="13" t="s">
        <v>67</v>
      </c>
    </row>
    <row r="32" customFormat="false" ht="15" hidden="false" customHeight="false" outlineLevel="0" collapsed="false">
      <c r="A32" s="13" t="s">
        <v>68</v>
      </c>
    </row>
    <row r="33" customFormat="false" ht="15" hidden="false" customHeight="false" outlineLevel="0" collapsed="false">
      <c r="A33" s="13"/>
    </row>
    <row r="34" customFormat="false" ht="15" hidden="false" customHeight="false" outlineLevel="0" collapsed="false">
      <c r="A34" s="14" t="s">
        <v>69</v>
      </c>
    </row>
    <row r="35" customFormat="false" ht="15" hidden="false" customHeight="false" outlineLevel="0" collapsed="false">
      <c r="A35" s="13" t="s">
        <v>70</v>
      </c>
    </row>
    <row r="36" customFormat="false" ht="15" hidden="false" customHeight="false" outlineLevel="0" collapsed="false">
      <c r="A36" s="13" t="s">
        <v>71</v>
      </c>
    </row>
    <row r="37" customFormat="false" ht="15" hidden="false" customHeight="false" outlineLevel="0" collapsed="false">
      <c r="A37" s="1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5" t="s">
        <v>73</v>
      </c>
      <c r="B1" s="15"/>
      <c r="C1" s="15"/>
      <c r="D1" s="15"/>
      <c r="E1" s="15"/>
      <c r="F1" s="15"/>
      <c r="G1" s="15"/>
      <c r="H1" s="15"/>
      <c r="I1" s="15"/>
    </row>
    <row r="2" customFormat="false" ht="35.05" hidden="false" customHeight="false" outlineLevel="0" collapsed="false">
      <c r="A2" s="16" t="s">
        <v>8</v>
      </c>
      <c r="B2" s="16" t="s">
        <v>74</v>
      </c>
      <c r="C2" s="16" t="s">
        <v>75</v>
      </c>
      <c r="D2" s="16" t="s">
        <v>9</v>
      </c>
      <c r="E2" s="16" t="s">
        <v>76</v>
      </c>
      <c r="F2" s="16" t="s">
        <v>77</v>
      </c>
      <c r="G2" s="16" t="s">
        <v>78</v>
      </c>
      <c r="H2" s="16" t="s">
        <v>79</v>
      </c>
      <c r="I2" s="16" t="s">
        <v>80</v>
      </c>
    </row>
    <row r="3" customFormat="false" ht="15" hidden="false" customHeight="false" outlineLevel="0" collapsed="false">
      <c r="A3" s="9" t="s">
        <v>22</v>
      </c>
      <c r="B3" s="17" t="n">
        <v>80</v>
      </c>
      <c r="C3" s="18" t="n">
        <v>154344580</v>
      </c>
      <c r="D3" s="10" t="n">
        <f aca="false">IF(C3="","",C3/B3)</f>
        <v>1929307.25</v>
      </c>
      <c r="E3" s="18" t="n">
        <v>199812341</v>
      </c>
      <c r="F3" s="10" t="n">
        <f aca="false">E3/B3</f>
        <v>2497654.2625</v>
      </c>
      <c r="G3" s="17" t="n">
        <v>403</v>
      </c>
      <c r="H3" s="9" t="n">
        <f aca="false">E3/G3</f>
        <v>495812.260545906</v>
      </c>
      <c r="I3" s="9" t="n">
        <f aca="false">G3/B3</f>
        <v>5.0375</v>
      </c>
    </row>
    <row r="4" customFormat="false" ht="15" hidden="false" customHeight="false" outlineLevel="0" collapsed="false">
      <c r="A4" s="9" t="s">
        <v>18</v>
      </c>
      <c r="B4" s="17" t="n">
        <v>48</v>
      </c>
      <c r="C4" s="18" t="n">
        <v>93884493</v>
      </c>
      <c r="D4" s="10" t="n">
        <f aca="false">IF(C4="","",C4/B4)</f>
        <v>1955926.9375</v>
      </c>
      <c r="E4" s="18" t="n">
        <v>112374333</v>
      </c>
      <c r="F4" s="10" t="n">
        <f aca="false">E4/B4</f>
        <v>2341131.9375</v>
      </c>
      <c r="G4" s="17" t="n">
        <v>288</v>
      </c>
      <c r="H4" s="9" t="n">
        <f aca="false">E4/G4</f>
        <v>390188.65625</v>
      </c>
      <c r="I4" s="9" t="n">
        <f aca="false">G4/B4</f>
        <v>6</v>
      </c>
    </row>
    <row r="5" customFormat="false" ht="15" hidden="false" customHeight="false" outlineLevel="0" collapsed="false">
      <c r="A5" s="9" t="s">
        <v>81</v>
      </c>
      <c r="B5" s="17" t="n">
        <v>42</v>
      </c>
      <c r="C5" s="18" t="n">
        <v>73688046</v>
      </c>
      <c r="D5" s="10" t="n">
        <f aca="false">IF(C5="","",C5/B5)</f>
        <v>1754477.28571429</v>
      </c>
      <c r="E5" s="18" t="n">
        <v>91276115</v>
      </c>
      <c r="F5" s="10" t="n">
        <f aca="false">E5/B5</f>
        <v>2173240.83333333</v>
      </c>
      <c r="G5" s="17" t="n">
        <v>294</v>
      </c>
      <c r="H5" s="9" t="n">
        <f aca="false">E5/G5</f>
        <v>310462.976190476</v>
      </c>
      <c r="I5" s="9" t="n">
        <f aca="false">G5/B5</f>
        <v>7</v>
      </c>
    </row>
    <row r="6" customFormat="false" ht="15" hidden="false" customHeight="false" outlineLevel="0" collapsed="false">
      <c r="A6" s="9" t="s">
        <v>20</v>
      </c>
      <c r="B6" s="17" t="n">
        <v>40</v>
      </c>
      <c r="C6" s="18" t="n">
        <v>77419516</v>
      </c>
      <c r="D6" s="10" t="n">
        <f aca="false">IF(C6="","",C6/B6)</f>
        <v>1935487.9</v>
      </c>
      <c r="E6" s="18" t="n">
        <v>104099452</v>
      </c>
      <c r="F6" s="10" t="n">
        <f aca="false">E6/B6</f>
        <v>2602486.3</v>
      </c>
      <c r="G6" s="17" t="n">
        <v>243</v>
      </c>
      <c r="H6" s="9" t="n">
        <f aca="false">E6/G6</f>
        <v>428392.806584362</v>
      </c>
      <c r="I6" s="9" t="n">
        <f aca="false">G6/B6</f>
        <v>6.075</v>
      </c>
    </row>
    <row r="7" customFormat="false" ht="15" hidden="false" customHeight="false" outlineLevel="0" collapsed="false">
      <c r="A7" s="9" t="s">
        <v>82</v>
      </c>
      <c r="B7" s="17" t="n">
        <v>39</v>
      </c>
      <c r="C7" s="18" t="n">
        <v>62594799</v>
      </c>
      <c r="D7" s="10" t="n">
        <f aca="false">IF(C7="","",C7/B7)</f>
        <v>1604994.84615385</v>
      </c>
      <c r="E7" s="18" t="n">
        <v>72147030</v>
      </c>
      <c r="F7" s="10" t="n">
        <f aca="false">E7/B7</f>
        <v>1849923.84615385</v>
      </c>
      <c r="G7" s="17" t="n">
        <v>234</v>
      </c>
      <c r="H7" s="9" t="n">
        <f aca="false">E7/G7</f>
        <v>308320.641025641</v>
      </c>
      <c r="I7" s="9" t="n">
        <f aca="false">G7/B7</f>
        <v>6</v>
      </c>
    </row>
    <row r="8" customFormat="false" ht="15" hidden="false" customHeight="false" outlineLevel="0" collapsed="false">
      <c r="A8" s="9" t="s">
        <v>16</v>
      </c>
      <c r="B8" s="17" t="n">
        <v>29</v>
      </c>
      <c r="C8" s="18" t="n">
        <v>56769780</v>
      </c>
      <c r="D8" s="10" t="n">
        <f aca="false">IF(C8="","",C8/B8)</f>
        <v>1957578.62068966</v>
      </c>
      <c r="E8" s="18" t="n">
        <v>72626809</v>
      </c>
      <c r="F8" s="10" t="n">
        <f aca="false">E8/B8</f>
        <v>2504372.72413793</v>
      </c>
      <c r="G8" s="17" t="n">
        <v>230</v>
      </c>
      <c r="H8" s="9" t="n">
        <f aca="false">E8/G8</f>
        <v>315768.734782609</v>
      </c>
      <c r="I8" s="9" t="n">
        <f aca="false">G8/B8</f>
        <v>7.93103448275862</v>
      </c>
    </row>
    <row r="9" customFormat="false" ht="15" hidden="false" customHeight="false" outlineLevel="0" collapsed="false">
      <c r="A9" s="9" t="s">
        <v>83</v>
      </c>
      <c r="B9" s="17" t="n">
        <v>28</v>
      </c>
      <c r="C9" s="18" t="n">
        <v>51860645</v>
      </c>
      <c r="D9" s="10" t="n">
        <f aca="false">IF(C9="","",C9/B9)</f>
        <v>1852165.89285714</v>
      </c>
      <c r="E9" s="18" t="n">
        <v>61095297</v>
      </c>
      <c r="F9" s="10" t="n">
        <f aca="false">E9/B9</f>
        <v>2181974.89285714</v>
      </c>
      <c r="G9" s="17" t="n">
        <v>224</v>
      </c>
      <c r="H9" s="9" t="n">
        <f aca="false">E9/G9</f>
        <v>272746.861607143</v>
      </c>
      <c r="I9" s="9" t="n">
        <f aca="false">G9/B9</f>
        <v>8</v>
      </c>
    </row>
    <row r="10" customFormat="false" ht="15" hidden="false" customHeight="false" outlineLevel="0" collapsed="false">
      <c r="A10" s="9" t="s">
        <v>26</v>
      </c>
      <c r="B10" s="17" t="n">
        <v>26</v>
      </c>
      <c r="C10" s="18" t="n">
        <v>49056558</v>
      </c>
      <c r="D10" s="10" t="n">
        <f aca="false">IF(C10="","",C10/B10)</f>
        <v>1886790.69230769</v>
      </c>
      <c r="E10" s="18" t="n">
        <v>60439692</v>
      </c>
      <c r="F10" s="10" t="n">
        <f aca="false">E10/B10</f>
        <v>2324603.53846154</v>
      </c>
      <c r="G10" s="17" t="n">
        <v>182</v>
      </c>
      <c r="H10" s="9" t="n">
        <f aca="false">E10/G10</f>
        <v>332086.21978022</v>
      </c>
      <c r="I10" s="9" t="n">
        <f aca="false">G10/B10</f>
        <v>7</v>
      </c>
    </row>
    <row r="11" customFormat="false" ht="15" hidden="false" customHeight="false" outlineLevel="0" collapsed="false">
      <c r="A11" s="9" t="s">
        <v>84</v>
      </c>
      <c r="B11" s="17" t="n">
        <v>25</v>
      </c>
      <c r="C11" s="18" t="n">
        <v>40569103</v>
      </c>
      <c r="D11" s="10" t="n">
        <f aca="false">IF(C11="","",C11/B11)</f>
        <v>1622764.12</v>
      </c>
      <c r="E11" s="18" t="n">
        <v>49577103</v>
      </c>
      <c r="F11" s="10" t="n">
        <f aca="false">E11/B11</f>
        <v>1983084.12</v>
      </c>
      <c r="G11" s="17" t="n">
        <v>175</v>
      </c>
      <c r="H11" s="9" t="n">
        <f aca="false">E11/G11</f>
        <v>283297.731428571</v>
      </c>
      <c r="I11" s="9" t="n">
        <f aca="false">G11/B11</f>
        <v>7</v>
      </c>
    </row>
    <row r="12" customFormat="false" ht="15" hidden="false" customHeight="false" outlineLevel="0" collapsed="false">
      <c r="A12" s="9" t="s">
        <v>12</v>
      </c>
      <c r="B12" s="17" t="n">
        <v>25</v>
      </c>
      <c r="C12" s="18" t="n">
        <v>53661578</v>
      </c>
      <c r="D12" s="10" t="n">
        <f aca="false">IF(C12="","",C12/B12)</f>
        <v>2146463.12</v>
      </c>
      <c r="E12" s="18" t="n">
        <v>68548437</v>
      </c>
      <c r="F12" s="10" t="n">
        <f aca="false">E12/B12</f>
        <v>2741937.48</v>
      </c>
      <c r="G12" s="17" t="n">
        <v>200</v>
      </c>
      <c r="H12" s="9" t="n">
        <f aca="false">E12/G12</f>
        <v>342742.185</v>
      </c>
      <c r="I12" s="9" t="n">
        <f aca="false">G12/B12</f>
        <v>8</v>
      </c>
    </row>
    <row r="13" customFormat="false" ht="15" hidden="false" customHeight="false" outlineLevel="0" collapsed="false">
      <c r="A13" s="9" t="s">
        <v>85</v>
      </c>
      <c r="B13" s="17" t="n">
        <v>21</v>
      </c>
      <c r="C13" s="18" t="n">
        <v>33819452</v>
      </c>
      <c r="D13" s="10" t="n">
        <f aca="false">IF(C13="","",C13/B13)</f>
        <v>1610450.0952381</v>
      </c>
      <c r="E13" s="18" t="n">
        <v>41974219</v>
      </c>
      <c r="F13" s="10" t="n">
        <f aca="false">E13/B13</f>
        <v>1998772.33333333</v>
      </c>
      <c r="G13" s="17" t="n">
        <v>147</v>
      </c>
      <c r="H13" s="9" t="n">
        <f aca="false">E13/G13</f>
        <v>285538.904761905</v>
      </c>
      <c r="I13" s="9" t="n">
        <f aca="false">G13/B13</f>
        <v>7</v>
      </c>
    </row>
    <row r="14" customFormat="false" ht="15" hidden="false" customHeight="false" outlineLevel="0" collapsed="false">
      <c r="A14" s="9" t="s">
        <v>86</v>
      </c>
      <c r="B14" s="17" t="n">
        <v>20</v>
      </c>
      <c r="C14" s="18" t="n">
        <v>27718447</v>
      </c>
      <c r="D14" s="10" t="n">
        <f aca="false">IF(C14="","",C14/B14)</f>
        <v>1385922.35</v>
      </c>
      <c r="E14" s="18" t="n">
        <v>33406061</v>
      </c>
      <c r="F14" s="10" t="n">
        <f aca="false">E14/B14</f>
        <v>1670303.05</v>
      </c>
      <c r="G14" s="17" t="n">
        <v>140</v>
      </c>
      <c r="H14" s="9" t="n">
        <f aca="false">E14/G14</f>
        <v>238614.721428571</v>
      </c>
      <c r="I14" s="9" t="n">
        <f aca="false">G14/B14</f>
        <v>7</v>
      </c>
    </row>
    <row r="15" customFormat="false" ht="15" hidden="false" customHeight="false" outlineLevel="0" collapsed="false">
      <c r="A15" s="9" t="s">
        <v>87</v>
      </c>
      <c r="B15" s="17" t="n">
        <v>17</v>
      </c>
      <c r="C15" s="18" t="n">
        <v>31347026</v>
      </c>
      <c r="D15" s="10" t="n">
        <f aca="false">IF(C15="","",C15/B15)</f>
        <v>1843942.70588235</v>
      </c>
      <c r="E15" s="18" t="n">
        <v>35003674</v>
      </c>
      <c r="F15" s="10" t="n">
        <f aca="false">E15/B15</f>
        <v>2059039.64705882</v>
      </c>
      <c r="G15" s="17" t="n">
        <v>119</v>
      </c>
      <c r="H15" s="9" t="n">
        <f aca="false">E15/G15</f>
        <v>294148.521008403</v>
      </c>
      <c r="I15" s="9" t="n">
        <f aca="false">G15/B15</f>
        <v>7</v>
      </c>
    </row>
    <row r="16" customFormat="false" ht="15" hidden="false" customHeight="false" outlineLevel="0" collapsed="false">
      <c r="A16" s="9" t="s">
        <v>88</v>
      </c>
      <c r="B16" s="17" t="n">
        <v>14</v>
      </c>
      <c r="C16" s="18" t="n">
        <v>25507074</v>
      </c>
      <c r="D16" s="10" t="n">
        <f aca="false">IF(C16="","",C16/B16)</f>
        <v>1821933.85714286</v>
      </c>
      <c r="E16" s="18" t="n">
        <v>31205576</v>
      </c>
      <c r="F16" s="10" t="n">
        <f aca="false">E16/B16</f>
        <v>2228969.71428571</v>
      </c>
      <c r="G16" s="17" t="n">
        <v>126</v>
      </c>
      <c r="H16" s="9" t="n">
        <f aca="false">E16/G16</f>
        <v>247663.301587302</v>
      </c>
      <c r="I16" s="9" t="n">
        <f aca="false">G16/B16</f>
        <v>9</v>
      </c>
    </row>
    <row r="17" customFormat="false" ht="15" hidden="false" customHeight="false" outlineLevel="0" collapsed="false">
      <c r="A17" s="9" t="s">
        <v>28</v>
      </c>
      <c r="B17" s="17" t="n">
        <v>14</v>
      </c>
      <c r="C17" s="18" t="n">
        <v>26129704</v>
      </c>
      <c r="D17" s="10" t="n">
        <f aca="false">IF(C17="","",C17/B17)</f>
        <v>1866407.42857143</v>
      </c>
      <c r="E17" s="18" t="n">
        <v>32988134</v>
      </c>
      <c r="F17" s="10" t="n">
        <f aca="false">E17/B17</f>
        <v>2356295.28571429</v>
      </c>
      <c r="G17" s="17" t="n">
        <v>81</v>
      </c>
      <c r="H17" s="9" t="n">
        <f aca="false">E17/G17</f>
        <v>407260.913580247</v>
      </c>
      <c r="I17" s="9" t="n">
        <f aca="false">G17/B17</f>
        <v>5.78571428571429</v>
      </c>
    </row>
    <row r="18" customFormat="false" ht="15" hidden="false" customHeight="false" outlineLevel="0" collapsed="false">
      <c r="A18" s="9" t="s">
        <v>89</v>
      </c>
      <c r="B18" s="17" t="n">
        <v>13</v>
      </c>
      <c r="C18" s="18" t="n">
        <v>21366557</v>
      </c>
      <c r="D18" s="10" t="n">
        <f aca="false">IF(C18="","",C18/B18)</f>
        <v>1643581.30769231</v>
      </c>
      <c r="E18" s="18" t="n">
        <v>27743338</v>
      </c>
      <c r="F18" s="10" t="n">
        <f aca="false">E18/B18</f>
        <v>2134102.92307692</v>
      </c>
      <c r="G18" s="17" t="n">
        <v>117</v>
      </c>
      <c r="H18" s="9" t="n">
        <f aca="false">E18/G18</f>
        <v>237122.547008547</v>
      </c>
      <c r="I18" s="9" t="n">
        <f aca="false">G18/B18</f>
        <v>9</v>
      </c>
    </row>
    <row r="19" customFormat="false" ht="15" hidden="false" customHeight="false" outlineLevel="0" collapsed="false">
      <c r="A19" s="9" t="s">
        <v>24</v>
      </c>
      <c r="B19" s="17" t="n">
        <v>11</v>
      </c>
      <c r="C19" s="18" t="n">
        <v>20798657</v>
      </c>
      <c r="D19" s="10" t="n">
        <f aca="false">IF(C19="","",C19/B19)</f>
        <v>1890787</v>
      </c>
      <c r="E19" s="18" t="n">
        <v>25545198</v>
      </c>
      <c r="F19" s="10" t="n">
        <f aca="false">E19/B19</f>
        <v>2322290.72727273</v>
      </c>
      <c r="G19" s="17" t="n">
        <v>90</v>
      </c>
      <c r="H19" s="9" t="n">
        <f aca="false">E19/G19</f>
        <v>283835.533333333</v>
      </c>
      <c r="I19" s="9" t="n">
        <f aca="false">G19/B19</f>
        <v>8.18181818181818</v>
      </c>
    </row>
    <row r="20" customFormat="false" ht="15" hidden="false" customHeight="false" outlineLevel="0" collapsed="false">
      <c r="A20" s="9" t="s">
        <v>14</v>
      </c>
      <c r="B20" s="17" t="n">
        <v>10</v>
      </c>
      <c r="C20" s="18" t="n">
        <v>20388111</v>
      </c>
      <c r="D20" s="10" t="n">
        <f aca="false">IF(C20="","",C20/B20)</f>
        <v>2038811.1</v>
      </c>
      <c r="E20" s="18" t="n">
        <v>25351462</v>
      </c>
      <c r="F20" s="10" t="n">
        <f aca="false">E20/B20</f>
        <v>2535146.2</v>
      </c>
      <c r="G20" s="17" t="n">
        <v>90</v>
      </c>
      <c r="H20" s="9" t="n">
        <f aca="false">E20/G20</f>
        <v>281682.911111111</v>
      </c>
      <c r="I20" s="9" t="n">
        <f aca="false">G20/B20</f>
        <v>9</v>
      </c>
    </row>
    <row r="21" customFormat="false" ht="15" hidden="false" customHeight="false" outlineLevel="0" collapsed="false">
      <c r="A21" s="9" t="s">
        <v>10</v>
      </c>
      <c r="B21" s="17" t="n">
        <v>7</v>
      </c>
      <c r="C21" s="18" t="n">
        <v>15715238</v>
      </c>
      <c r="D21" s="10" t="n">
        <f aca="false">IF(C21="","",C21/B21)</f>
        <v>2245034</v>
      </c>
      <c r="E21" s="18" t="n">
        <v>16787941</v>
      </c>
      <c r="F21" s="10" t="n">
        <f aca="false">E21/B21</f>
        <v>2398277.28571429</v>
      </c>
      <c r="G21" s="17" t="n">
        <v>70</v>
      </c>
      <c r="H21" s="9" t="n">
        <f aca="false">E21/G21</f>
        <v>239827.728571429</v>
      </c>
      <c r="I21" s="9" t="n">
        <f aca="false">G21/B21</f>
        <v>10</v>
      </c>
    </row>
    <row r="22" customFormat="false" ht="15" hidden="false" customHeight="false" outlineLevel="0" collapsed="false">
      <c r="A22" s="9" t="s">
        <v>90</v>
      </c>
      <c r="B22" s="17" t="n">
        <v>5</v>
      </c>
      <c r="C22" s="18" t="n">
        <v>7930901</v>
      </c>
      <c r="D22" s="10" t="n">
        <f aca="false">IF(C22="","",C22/B22)</f>
        <v>1586180.2</v>
      </c>
      <c r="E22" s="18" t="n">
        <v>10086292</v>
      </c>
      <c r="F22" s="10" t="n">
        <f aca="false">E22/B22</f>
        <v>2017258.4</v>
      </c>
      <c r="G22" s="17" t="n">
        <v>70</v>
      </c>
      <c r="H22" s="9" t="n">
        <f aca="false">E22/G22</f>
        <v>144089.885714286</v>
      </c>
      <c r="I22" s="9" t="n">
        <f aca="false">G22/B22</f>
        <v>14</v>
      </c>
    </row>
    <row r="23" customFormat="false" ht="15" hidden="false" customHeight="false" outlineLevel="0" collapsed="false">
      <c r="A23" s="9" t="s">
        <v>91</v>
      </c>
      <c r="B23" s="17" t="n">
        <v>5</v>
      </c>
      <c r="C23" s="18" t="n">
        <v>8802348</v>
      </c>
      <c r="D23" s="10" t="n">
        <f aca="false">IF(C23="","",C23/B23)</f>
        <v>1760469.6</v>
      </c>
      <c r="E23" s="18" t="n">
        <v>12267032</v>
      </c>
      <c r="F23" s="10" t="n">
        <f aca="false">E23/B23</f>
        <v>2453406.4</v>
      </c>
      <c r="G23" s="17" t="n">
        <v>90</v>
      </c>
      <c r="H23" s="9" t="n">
        <f aca="false">E23/G23</f>
        <v>136300.355555556</v>
      </c>
      <c r="I23" s="9" t="n">
        <f aca="false">G23/B23</f>
        <v>18</v>
      </c>
    </row>
    <row r="24" customFormat="false" ht="15" hidden="false" customHeight="false" outlineLevel="0" collapsed="false">
      <c r="A24" s="9" t="s">
        <v>92</v>
      </c>
      <c r="B24" s="17" t="n">
        <v>4</v>
      </c>
      <c r="C24" s="18" t="n">
        <v>5711969</v>
      </c>
      <c r="D24" s="10" t="n">
        <f aca="false">IF(C24="","",C24/B24)</f>
        <v>1427992.25</v>
      </c>
      <c r="E24" s="18" t="n">
        <v>6864602</v>
      </c>
      <c r="F24" s="10" t="n">
        <f aca="false">E24/B24</f>
        <v>1716150.5</v>
      </c>
      <c r="G24" s="17" t="n">
        <v>68</v>
      </c>
      <c r="H24" s="9" t="n">
        <f aca="false">E24/G24</f>
        <v>100950.029411765</v>
      </c>
      <c r="I24" s="9" t="n">
        <f aca="false">G24/B24</f>
        <v>17</v>
      </c>
    </row>
    <row r="25" customFormat="false" ht="15" hidden="false" customHeight="false" outlineLevel="0" collapsed="false">
      <c r="A25" s="9" t="s">
        <v>19</v>
      </c>
      <c r="B25" s="17" t="n">
        <v>2</v>
      </c>
      <c r="C25" s="18" t="n">
        <v>898442</v>
      </c>
      <c r="D25" s="10" t="n">
        <f aca="false">IF(C25="","",C25/B25)</f>
        <v>449221</v>
      </c>
      <c r="E25" s="18" t="n">
        <v>1383727</v>
      </c>
      <c r="F25" s="10" t="n">
        <f aca="false">E25/B25</f>
        <v>691863.5</v>
      </c>
      <c r="G25" s="17" t="n">
        <v>60</v>
      </c>
      <c r="H25" s="9" t="n">
        <f aca="false">E25/G25</f>
        <v>23062.1166666667</v>
      </c>
      <c r="I25" s="9" t="n">
        <f aca="false">G25/B25</f>
        <v>30</v>
      </c>
    </row>
    <row r="26" customFormat="false" ht="15" hidden="false" customHeight="false" outlineLevel="0" collapsed="false">
      <c r="A26" s="9" t="s">
        <v>23</v>
      </c>
      <c r="B26" s="17" t="n">
        <v>2</v>
      </c>
      <c r="C26" s="18" t="n">
        <v>1179644</v>
      </c>
      <c r="D26" s="10" t="n">
        <f aca="false">IF(C26="","",C26/B26)</f>
        <v>589822</v>
      </c>
      <c r="E26" s="18" t="n">
        <v>1458545</v>
      </c>
      <c r="F26" s="10" t="n">
        <f aca="false">E26/B26</f>
        <v>729272.5</v>
      </c>
      <c r="G26" s="17" t="n">
        <v>40</v>
      </c>
      <c r="H26" s="9" t="n">
        <f aca="false">E26/G26</f>
        <v>36463.625</v>
      </c>
      <c r="I26" s="9" t="n">
        <f aca="false">G26/B26</f>
        <v>20</v>
      </c>
    </row>
    <row r="27" customFormat="false" ht="15" hidden="false" customHeight="false" outlineLevel="0" collapsed="false">
      <c r="A27" s="9" t="s">
        <v>93</v>
      </c>
      <c r="B27" s="17" t="n">
        <v>2</v>
      </c>
      <c r="C27" s="18" t="n">
        <v>2051357</v>
      </c>
      <c r="D27" s="10" t="n">
        <f aca="false">IF(C27="","",C27/B27)</f>
        <v>1025678.5</v>
      </c>
      <c r="E27" s="18" t="n">
        <v>2570390</v>
      </c>
      <c r="F27" s="10" t="n">
        <f aca="false">E27/B27</f>
        <v>1285195</v>
      </c>
      <c r="G27" s="17" t="n">
        <v>60</v>
      </c>
      <c r="H27" s="9" t="n">
        <f aca="false">E27/G27</f>
        <v>42839.8333333333</v>
      </c>
      <c r="I27" s="9" t="n">
        <f aca="false">G27/B27</f>
        <v>30</v>
      </c>
    </row>
    <row r="28" customFormat="false" ht="15" hidden="false" customHeight="false" outlineLevel="0" collapsed="false">
      <c r="A28" s="9" t="s">
        <v>94</v>
      </c>
      <c r="B28" s="17" t="n">
        <v>2</v>
      </c>
      <c r="C28" s="18" t="n">
        <v>2230451</v>
      </c>
      <c r="D28" s="10" t="n">
        <f aca="false">IF(C28="","",C28/B28)</f>
        <v>1115225.5</v>
      </c>
      <c r="E28" s="18" t="n">
        <v>2966889</v>
      </c>
      <c r="F28" s="10" t="n">
        <f aca="false">E28/B28</f>
        <v>1483444.5</v>
      </c>
      <c r="G28" s="17" t="n">
        <v>60</v>
      </c>
      <c r="H28" s="9" t="n">
        <f aca="false">E28/G28</f>
        <v>49448.15</v>
      </c>
      <c r="I28" s="9" t="n">
        <f aca="false">G28/B28</f>
        <v>30</v>
      </c>
    </row>
    <row r="29" customFormat="false" ht="15" hidden="false" customHeight="false" outlineLevel="0" collapsed="false">
      <c r="A29" s="9" t="s">
        <v>95</v>
      </c>
      <c r="B29" s="17" t="n">
        <v>2</v>
      </c>
      <c r="C29" s="18" t="n">
        <v>2870896</v>
      </c>
      <c r="D29" s="10" t="n">
        <f aca="false">IF(C29="","",C29/B29)</f>
        <v>1435448</v>
      </c>
      <c r="E29" s="18" t="n">
        <v>3673917</v>
      </c>
      <c r="F29" s="10" t="n">
        <f aca="false">E29/B29</f>
        <v>1836958.5</v>
      </c>
      <c r="G29" s="17" t="n">
        <v>60</v>
      </c>
      <c r="H29" s="9" t="n">
        <f aca="false">E29/G29</f>
        <v>61231.95</v>
      </c>
      <c r="I29" s="9" t="n">
        <f aca="false">G29/B29</f>
        <v>30</v>
      </c>
    </row>
    <row r="30" customFormat="false" ht="15" hidden="false" customHeight="false" outlineLevel="0" collapsed="false">
      <c r="A30" s="9" t="s">
        <v>27</v>
      </c>
      <c r="B30" s="17" t="n">
        <v>1</v>
      </c>
      <c r="C30" s="18" t="n">
        <v>861327</v>
      </c>
      <c r="D30" s="10" t="n">
        <f aca="false">IF(C30="","",C30/B30)</f>
        <v>861327</v>
      </c>
      <c r="E30" s="18" t="n">
        <v>1097206</v>
      </c>
      <c r="F30" s="10" t="n">
        <f aca="false">E30/B30</f>
        <v>1097206</v>
      </c>
      <c r="G30" s="17" t="n">
        <v>40</v>
      </c>
      <c r="H30" s="9" t="n">
        <f aca="false">E30/G30</f>
        <v>27430.15</v>
      </c>
      <c r="I30" s="9" t="n">
        <f aca="false">G30/B30</f>
        <v>40</v>
      </c>
    </row>
    <row r="31" customFormat="false" ht="15" hidden="false" customHeight="false" outlineLevel="0" collapsed="false">
      <c r="A31" s="9" t="s">
        <v>96</v>
      </c>
      <c r="B31" s="17" t="n">
        <v>1</v>
      </c>
      <c r="C31" s="18" t="n">
        <v>1325383</v>
      </c>
      <c r="D31" s="10" t="n">
        <f aca="false">IF(C31="","",C31/B31)</f>
        <v>1325383</v>
      </c>
      <c r="E31" s="18" t="n">
        <v>1978502</v>
      </c>
      <c r="F31" s="10" t="n">
        <f aca="false">E31/B31</f>
        <v>1978502</v>
      </c>
      <c r="G31" s="17" t="n">
        <v>60</v>
      </c>
      <c r="H31" s="9" t="n">
        <f aca="false">E31/G31</f>
        <v>32975.0333333333</v>
      </c>
      <c r="I31" s="9" t="n">
        <f aca="false">G31/B31</f>
        <v>60</v>
      </c>
    </row>
    <row r="32" customFormat="false" ht="15" hidden="false" customHeight="false" outlineLevel="0" collapsed="false">
      <c r="A32" s="9" t="s">
        <v>21</v>
      </c>
      <c r="B32" s="17" t="n">
        <v>1</v>
      </c>
      <c r="C32" s="18" t="n">
        <v>466643</v>
      </c>
      <c r="D32" s="10" t="n">
        <f aca="false">IF(C32="","",C32/B32)</f>
        <v>466643</v>
      </c>
      <c r="E32" s="18" t="n">
        <v>610577</v>
      </c>
      <c r="F32" s="10" t="n">
        <f aca="false">E32/B32</f>
        <v>610577</v>
      </c>
      <c r="G32" s="17" t="n">
        <v>32</v>
      </c>
      <c r="H32" s="9" t="n">
        <f aca="false">E32/G32</f>
        <v>19080.53125</v>
      </c>
      <c r="I32" s="9" t="n">
        <f aca="false">G32/B32</f>
        <v>32</v>
      </c>
    </row>
    <row r="33" customFormat="false" ht="15" hidden="false" customHeight="false" outlineLevel="0" collapsed="false">
      <c r="A33" s="9" t="s">
        <v>29</v>
      </c>
      <c r="B33" s="17" t="n">
        <v>1</v>
      </c>
      <c r="C33" s="18" t="n">
        <v>1024024</v>
      </c>
      <c r="D33" s="10" t="n">
        <f aca="false">IF(C33="","",C33/B33)</f>
        <v>1024024</v>
      </c>
      <c r="E33" s="18" t="n">
        <v>1247953</v>
      </c>
      <c r="F33" s="10" t="n">
        <f aca="false">E33/B33</f>
        <v>1247953</v>
      </c>
      <c r="G33" s="17" t="n">
        <v>30</v>
      </c>
      <c r="H33" s="9" t="n">
        <f aca="false">E33/G33</f>
        <v>41598.4333333333</v>
      </c>
      <c r="I33" s="9" t="n">
        <f aca="false">G33/B33</f>
        <v>30</v>
      </c>
    </row>
    <row r="34" customFormat="false" ht="15" hidden="false" customHeight="false" outlineLevel="0" collapsed="false">
      <c r="A34" s="9" t="s">
        <v>15</v>
      </c>
      <c r="B34" s="17" t="n">
        <v>2</v>
      </c>
      <c r="C34" s="18" t="n">
        <v>417236</v>
      </c>
      <c r="D34" s="10" t="n">
        <f aca="false">IF(C34="","",C34/B34)</f>
        <v>208618</v>
      </c>
      <c r="E34" s="18" t="n">
        <v>585764</v>
      </c>
      <c r="F34" s="10" t="n">
        <f aca="false">E34/B34</f>
        <v>292882</v>
      </c>
      <c r="G34" s="9" t="s">
        <v>97</v>
      </c>
      <c r="H34" s="9" t="s">
        <v>97</v>
      </c>
      <c r="I34" s="9" t="s">
        <v>97</v>
      </c>
    </row>
    <row r="35" customFormat="false" ht="15" hidden="false" customHeight="false" outlineLevel="0" collapsed="false">
      <c r="A35" s="9" t="s">
        <v>17</v>
      </c>
      <c r="B35" s="17" t="n">
        <v>1</v>
      </c>
      <c r="C35" s="18" t="n">
        <v>315745</v>
      </c>
      <c r="D35" s="10" t="n">
        <f aca="false">IF(C35="","",C35/B35)</f>
        <v>315745</v>
      </c>
      <c r="E35" s="18" t="n">
        <v>380581</v>
      </c>
      <c r="F35" s="10" t="n">
        <f aca="false">E35/B35</f>
        <v>380581</v>
      </c>
      <c r="G35" s="9" t="s">
        <v>97</v>
      </c>
      <c r="H35" s="9" t="s">
        <v>97</v>
      </c>
      <c r="I35" s="9" t="s">
        <v>97</v>
      </c>
    </row>
    <row r="36" customFormat="false" ht="15" hidden="false" customHeight="false" outlineLevel="0" collapsed="false">
      <c r="A36" s="9" t="s">
        <v>25</v>
      </c>
      <c r="B36" s="17" t="n">
        <v>1</v>
      </c>
      <c r="C36" s="18" t="n">
        <v>660552</v>
      </c>
      <c r="D36" s="10" t="n">
        <f aca="false">IF(C36="","",C36/B36)</f>
        <v>660552</v>
      </c>
      <c r="E36" s="18" t="n">
        <v>1055450</v>
      </c>
      <c r="F36" s="10" t="n">
        <f aca="false">E36/B36</f>
        <v>1055450</v>
      </c>
      <c r="G36" s="9" t="s">
        <v>97</v>
      </c>
      <c r="H36" s="9" t="s">
        <v>97</v>
      </c>
      <c r="I36" s="9" t="s">
        <v>97</v>
      </c>
    </row>
    <row r="37" customFormat="false" ht="15" hidden="false" customHeight="false" outlineLevel="0" collapsed="false">
      <c r="A37" s="9" t="s">
        <v>13</v>
      </c>
      <c r="B37" s="17" t="n">
        <v>1</v>
      </c>
      <c r="C37" s="18" t="n">
        <v>190576</v>
      </c>
      <c r="D37" s="10" t="n">
        <f aca="false">IF(C37="","",C37/B37)</f>
        <v>190576</v>
      </c>
      <c r="E37" s="18" t="n">
        <v>274000</v>
      </c>
      <c r="F37" s="10" t="n">
        <f aca="false">E37/B37</f>
        <v>274000</v>
      </c>
      <c r="G37" s="9" t="s">
        <v>97</v>
      </c>
      <c r="H37" s="9" t="s">
        <v>97</v>
      </c>
      <c r="I37" s="9" t="s">
        <v>97</v>
      </c>
    </row>
    <row r="38" customFormat="false" ht="15" hidden="false" customHeight="false" outlineLevel="0" collapsed="false">
      <c r="A38" s="9" t="s">
        <v>11</v>
      </c>
      <c r="B38" s="17" t="n">
        <v>1</v>
      </c>
      <c r="C38" s="18" t="n">
        <v>57953</v>
      </c>
      <c r="D38" s="10" t="n">
        <f aca="false">IF(C38="","",C38/B38)</f>
        <v>57953</v>
      </c>
      <c r="E38" s="18" t="n">
        <v>64473</v>
      </c>
      <c r="F38" s="10" t="n">
        <f aca="false">E38/B38</f>
        <v>64473</v>
      </c>
      <c r="G38" s="9" t="s">
        <v>97</v>
      </c>
      <c r="H38" s="9" t="s">
        <v>97</v>
      </c>
      <c r="I38" s="9" t="s">
        <v>97</v>
      </c>
    </row>
    <row r="39" customFormat="false" ht="15" hidden="false" customHeight="false" outlineLevel="0" collapsed="false">
      <c r="A39" s="19" t="s">
        <v>98</v>
      </c>
      <c r="B39" s="19" t="n">
        <f aca="false">SUM(B3:B38)</f>
        <v>543</v>
      </c>
      <c r="C39" s="20" t="n">
        <f aca="false">SUM(C3:C38)</f>
        <v>973634811</v>
      </c>
      <c r="D39" s="20" t="n">
        <f aca="false">C39/B39</f>
        <v>1793065.95027624</v>
      </c>
      <c r="E39" s="20" t="n">
        <f aca="false">SUM(E3:E38)</f>
        <v>1210568112</v>
      </c>
      <c r="F39" s="20" t="n">
        <f aca="false">E39/B39</f>
        <v>2229407.20441989</v>
      </c>
      <c r="G39" s="19" t="n">
        <f aca="false">SUM(G3:G38)</f>
        <v>4123</v>
      </c>
      <c r="H39" s="21"/>
      <c r="I39" s="21"/>
    </row>
    <row r="41" customFormat="false" ht="15" hidden="false" customHeight="false" outlineLevel="0" collapsed="false">
      <c r="A41" s="14" t="s">
        <v>99</v>
      </c>
      <c r="B41" s="13" t="str">
        <f aca="false">INDEX(A3:A38,MATCH(MAX(D3:D38),D3:D38,0))</f>
        <v>Delhi</v>
      </c>
      <c r="C41" s="22" t="n">
        <f aca="false">MAX(D3:D38)</f>
        <v>2245034</v>
      </c>
    </row>
    <row r="42" customFormat="false" ht="15" hidden="false" customHeight="false" outlineLevel="0" collapsed="false">
      <c r="A42" s="14" t="s">
        <v>100</v>
      </c>
      <c r="B42" s="13" t="str">
        <f aca="false">INDEX(A3:A38,MATCH(MIN(D3:D38),D3:D38,0))</f>
        <v>Lakshadweep</v>
      </c>
      <c r="C42" s="22" t="n">
        <f aca="false">MIN(D3:D38)</f>
        <v>57953</v>
      </c>
    </row>
    <row r="43" customFormat="false" ht="15" hidden="false" customHeight="false" outlineLevel="0" collapsed="false">
      <c r="A43" s="14" t="s">
        <v>101</v>
      </c>
      <c r="C43" s="22" t="n">
        <f aca="false">AVERAGE(D3:D38)</f>
        <v>1374824.57110416</v>
      </c>
    </row>
    <row r="45" customFormat="false" ht="15" hidden="false" customHeight="false" outlineLevel="0" collapsed="false">
      <c r="A45" s="23" t="s">
        <v>102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5" t="s">
        <v>103</v>
      </c>
      <c r="B1" s="15"/>
      <c r="C1" s="15"/>
      <c r="D1" s="15"/>
      <c r="E1" s="15"/>
      <c r="F1" s="15"/>
    </row>
    <row r="3" customFormat="false" ht="23.85" hidden="false" customHeight="false" outlineLevel="0" collapsed="false">
      <c r="A3" s="16" t="s">
        <v>104</v>
      </c>
      <c r="B3" s="16" t="s">
        <v>105</v>
      </c>
      <c r="C3" s="16" t="s">
        <v>106</v>
      </c>
      <c r="D3" s="16" t="s">
        <v>107</v>
      </c>
      <c r="E3" s="16" t="s">
        <v>108</v>
      </c>
      <c r="F3" s="16" t="s">
        <v>109</v>
      </c>
    </row>
    <row r="4" customFormat="false" ht="15" hidden="false" customHeight="false" outlineLevel="0" collapsed="false">
      <c r="A4" s="17" t="n">
        <v>2014</v>
      </c>
      <c r="B4" s="18" t="n">
        <v>834000000</v>
      </c>
      <c r="C4" s="24" t="n">
        <v>66.4</v>
      </c>
      <c r="D4" s="18" t="n">
        <v>553801801</v>
      </c>
      <c r="E4" s="17" t="n">
        <v>543</v>
      </c>
      <c r="F4" s="10" t="n">
        <f aca="false">B4/E4</f>
        <v>1535911.60220994</v>
      </c>
    </row>
    <row r="5" customFormat="false" ht="15" hidden="false" customHeight="false" outlineLevel="0" collapsed="false">
      <c r="A5" s="17" t="n">
        <v>2019</v>
      </c>
      <c r="B5" s="18" t="n">
        <v>911000000</v>
      </c>
      <c r="C5" s="24" t="n">
        <v>67.11</v>
      </c>
      <c r="D5" s="18" t="n">
        <v>614000000</v>
      </c>
      <c r="E5" s="17" t="n">
        <v>542</v>
      </c>
      <c r="F5" s="10" t="n">
        <f aca="false">B5/E5</f>
        <v>1680811.80811808</v>
      </c>
    </row>
    <row r="6" customFormat="false" ht="15" hidden="false" customHeight="false" outlineLevel="0" collapsed="false">
      <c r="A6" s="17" t="n">
        <v>2024</v>
      </c>
      <c r="B6" s="18" t="n">
        <v>968800000</v>
      </c>
      <c r="C6" s="24" t="n">
        <v>66.8</v>
      </c>
      <c r="D6" s="18" t="n">
        <v>646400000</v>
      </c>
      <c r="E6" s="17" t="n">
        <v>543</v>
      </c>
      <c r="F6" s="10" t="n">
        <f aca="false">B6/E6</f>
        <v>1784162.0626151</v>
      </c>
    </row>
    <row r="8" customFormat="false" ht="15" hidden="false" customHeight="false" outlineLevel="0" collapsed="false">
      <c r="A8" s="14" t="s">
        <v>110</v>
      </c>
      <c r="B8" s="25" t="n">
        <f aca="false">(B6-B4)/B4</f>
        <v>0.161630695443645</v>
      </c>
    </row>
    <row r="9" customFormat="false" ht="15" hidden="false" customHeight="false" outlineLevel="0" collapsed="false">
      <c r="A9" s="14" t="s">
        <v>111</v>
      </c>
      <c r="B9" s="25" t="n">
        <f aca="false">(F6-F4)/F4</f>
        <v>0.161630695443645</v>
      </c>
    </row>
    <row r="10" customFormat="false" ht="15" hidden="false" customHeight="false" outlineLevel="0" collapsed="false">
      <c r="A10" s="14" t="s">
        <v>112</v>
      </c>
      <c r="B10" s="13" t="n">
        <f aca="false">E6-E4</f>
        <v>0</v>
      </c>
    </row>
    <row r="11" customFormat="false" ht="15" hidden="false" customHeight="false" outlineLevel="0" collapsed="false">
      <c r="A11" s="14" t="s">
        <v>113</v>
      </c>
      <c r="B11" s="11" t="s">
        <v>114</v>
      </c>
      <c r="C11" s="11"/>
      <c r="D11" s="11"/>
      <c r="E11" s="11"/>
      <c r="F11" s="11"/>
    </row>
    <row r="13" customFormat="false" ht="15" hidden="false" customHeight="false" outlineLevel="0" collapsed="false">
      <c r="A13" s="23" t="s">
        <v>115</v>
      </c>
    </row>
    <row r="14" customFormat="false" ht="15" hidden="false" customHeight="false" outlineLevel="0" collapsed="false">
      <c r="A14" s="23" t="s">
        <v>116</v>
      </c>
    </row>
  </sheetData>
  <mergeCells count="2">
    <mergeCell ref="A1:F1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2"/>
  </cols>
  <sheetData>
    <row r="1" customFormat="false" ht="17.35" hidden="false" customHeight="false" outlineLevel="0" collapsed="false">
      <c r="A1" s="15" t="s">
        <v>117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26" t="s">
        <v>118</v>
      </c>
      <c r="B2" s="26"/>
      <c r="C2" s="26"/>
      <c r="D2" s="26"/>
      <c r="E2" s="26"/>
      <c r="F2" s="26"/>
      <c r="G2" s="26"/>
    </row>
    <row r="4" customFormat="false" ht="23.85" hidden="false" customHeight="false" outlineLevel="0" collapsed="false">
      <c r="A4" s="16" t="s">
        <v>8</v>
      </c>
      <c r="B4" s="16" t="s">
        <v>119</v>
      </c>
      <c r="C4" s="16" t="s">
        <v>76</v>
      </c>
      <c r="D4" s="16" t="s">
        <v>77</v>
      </c>
      <c r="E4" s="16" t="s">
        <v>120</v>
      </c>
      <c r="F4" s="16" t="s">
        <v>121</v>
      </c>
      <c r="G4" s="16" t="s">
        <v>122</v>
      </c>
    </row>
    <row r="5" customFormat="false" ht="15" hidden="false" customHeight="false" outlineLevel="0" collapsed="false">
      <c r="A5" s="9" t="s">
        <v>22</v>
      </c>
      <c r="B5" s="9" t="n">
        <v>80</v>
      </c>
      <c r="C5" s="10" t="n">
        <v>199812341</v>
      </c>
      <c r="D5" s="10" t="n">
        <f aca="false">C5/B5</f>
        <v>2497654.2625</v>
      </c>
      <c r="E5" s="10" t="n">
        <f aca="false">SUM($C$5:$C$35)/SUM($B$5:$B$35)</f>
        <v>2249921.4972067</v>
      </c>
      <c r="F5" s="27" t="n">
        <f aca="false">D5/E5*100</f>
        <v>111.010729289927</v>
      </c>
      <c r="G5" s="9" t="str">
        <f aca="false">IF(F5&gt;110,"Under-represented (large seat population)",IF(F5&lt;90,"Over-represented (small seat population)","Broadly proportionate"))</f>
        <v>Under-represented (large seat population)</v>
      </c>
    </row>
    <row r="6" customFormat="false" ht="15" hidden="false" customHeight="false" outlineLevel="0" collapsed="false">
      <c r="A6" s="9" t="s">
        <v>18</v>
      </c>
      <c r="B6" s="9" t="n">
        <v>48</v>
      </c>
      <c r="C6" s="10" t="n">
        <v>112374333</v>
      </c>
      <c r="D6" s="10" t="n">
        <f aca="false">C6/B6</f>
        <v>2341131.9375</v>
      </c>
      <c r="E6" s="10" t="n">
        <f aca="false">SUM($C$5:$C$35)/SUM($B$5:$B$35)</f>
        <v>2249921.4972067</v>
      </c>
      <c r="F6" s="27" t="n">
        <f aca="false">D6/E6*100</f>
        <v>104.053938788822</v>
      </c>
      <c r="G6" s="9" t="str">
        <f aca="false">IF(F6&gt;110,"Under-represented (large seat population)",IF(F6&lt;90,"Over-represented (small seat population)","Broadly proportionate"))</f>
        <v>Broadly proportionate</v>
      </c>
    </row>
    <row r="7" customFormat="false" ht="15" hidden="false" customHeight="false" outlineLevel="0" collapsed="false">
      <c r="A7" s="9" t="s">
        <v>81</v>
      </c>
      <c r="B7" s="9" t="n">
        <v>42</v>
      </c>
      <c r="C7" s="10" t="n">
        <v>91276115</v>
      </c>
      <c r="D7" s="10" t="n">
        <f aca="false">C7/B7</f>
        <v>2173240.83333333</v>
      </c>
      <c r="E7" s="10" t="n">
        <f aca="false">SUM($C$5:$C$35)/SUM($B$5:$B$35)</f>
        <v>2249921.4972067</v>
      </c>
      <c r="F7" s="27" t="n">
        <f aca="false">D7/E7*100</f>
        <v>96.5918515837744</v>
      </c>
      <c r="G7" s="9" t="str">
        <f aca="false">IF(F7&gt;110,"Under-represented (large seat population)",IF(F7&lt;90,"Over-represented (small seat population)","Broadly proportionate"))</f>
        <v>Broadly proportionate</v>
      </c>
    </row>
    <row r="8" customFormat="false" ht="15" hidden="false" customHeight="false" outlineLevel="0" collapsed="false">
      <c r="A8" s="9" t="s">
        <v>20</v>
      </c>
      <c r="B8" s="9" t="n">
        <v>40</v>
      </c>
      <c r="C8" s="10" t="n">
        <v>104099452</v>
      </c>
      <c r="D8" s="10" t="n">
        <f aca="false">C8/B8</f>
        <v>2602486.3</v>
      </c>
      <c r="E8" s="10" t="n">
        <f aca="false">SUM($C$5:$C$35)/SUM($B$5:$B$35)</f>
        <v>2249921.4972067</v>
      </c>
      <c r="F8" s="27" t="n">
        <f aca="false">D8/E8*100</f>
        <v>115.670093522419</v>
      </c>
      <c r="G8" s="9" t="str">
        <f aca="false">IF(F8&gt;110,"Under-represented (large seat population)",IF(F8&lt;90,"Over-represented (small seat population)","Broadly proportionate"))</f>
        <v>Under-represented (large seat population)</v>
      </c>
    </row>
    <row r="9" customFormat="false" ht="15" hidden="false" customHeight="false" outlineLevel="0" collapsed="false">
      <c r="A9" s="9" t="s">
        <v>82</v>
      </c>
      <c r="B9" s="9" t="n">
        <v>39</v>
      </c>
      <c r="C9" s="10" t="n">
        <v>72147030</v>
      </c>
      <c r="D9" s="10" t="n">
        <f aca="false">C9/B9</f>
        <v>1849923.84615385</v>
      </c>
      <c r="E9" s="10" t="n">
        <f aca="false">SUM($C$5:$C$35)/SUM($B$5:$B$35)</f>
        <v>2249921.4972067</v>
      </c>
      <c r="F9" s="27" t="n">
        <f aca="false">D9/E9*100</f>
        <v>82.2217063328895</v>
      </c>
      <c r="G9" s="9" t="str">
        <f aca="false">IF(F9&gt;110,"Under-represented (large seat population)",IF(F9&lt;90,"Over-represented (small seat population)","Broadly proportionate"))</f>
        <v>Over-represented (small seat population)</v>
      </c>
    </row>
    <row r="10" customFormat="false" ht="15" hidden="false" customHeight="false" outlineLevel="0" collapsed="false">
      <c r="A10" s="9" t="s">
        <v>16</v>
      </c>
      <c r="B10" s="9" t="n">
        <v>29</v>
      </c>
      <c r="C10" s="10" t="n">
        <v>72626809</v>
      </c>
      <c r="D10" s="10" t="n">
        <f aca="false">C10/B10</f>
        <v>2504372.72413793</v>
      </c>
      <c r="E10" s="10" t="n">
        <f aca="false">SUM($C$5:$C$35)/SUM($B$5:$B$35)</f>
        <v>2249921.4972067</v>
      </c>
      <c r="F10" s="27" t="n">
        <f aca="false">D10/E10*100</f>
        <v>111.309338003443</v>
      </c>
      <c r="G10" s="9" t="str">
        <f aca="false">IF(F10&gt;110,"Under-represented (large seat population)",IF(F10&lt;90,"Over-represented (small seat population)","Broadly proportionate"))</f>
        <v>Under-represented (large seat population)</v>
      </c>
    </row>
    <row r="11" customFormat="false" ht="15" hidden="false" customHeight="false" outlineLevel="0" collapsed="false">
      <c r="A11" s="9" t="s">
        <v>83</v>
      </c>
      <c r="B11" s="9" t="n">
        <v>28</v>
      </c>
      <c r="C11" s="10" t="n">
        <v>61095297</v>
      </c>
      <c r="D11" s="10" t="n">
        <f aca="false">C11/B11</f>
        <v>2181974.89285714</v>
      </c>
      <c r="E11" s="10" t="n">
        <f aca="false">SUM($C$5:$C$35)/SUM($B$5:$B$35)</f>
        <v>2249921.4972067</v>
      </c>
      <c r="F11" s="27" t="n">
        <f aca="false">D11/E11*100</f>
        <v>96.9800455511929</v>
      </c>
      <c r="G11" s="9" t="str">
        <f aca="false">IF(F11&gt;110,"Under-represented (large seat population)",IF(F11&lt;90,"Over-represented (small seat population)","Broadly proportionate"))</f>
        <v>Broadly proportionate</v>
      </c>
    </row>
    <row r="12" customFormat="false" ht="15" hidden="false" customHeight="false" outlineLevel="0" collapsed="false">
      <c r="A12" s="9" t="s">
        <v>26</v>
      </c>
      <c r="B12" s="9" t="n">
        <v>26</v>
      </c>
      <c r="C12" s="10" t="n">
        <v>60439692</v>
      </c>
      <c r="D12" s="10" t="n">
        <f aca="false">C12/B12</f>
        <v>2324603.53846154</v>
      </c>
      <c r="E12" s="10" t="n">
        <f aca="false">SUM($C$5:$C$35)/SUM($B$5:$B$35)</f>
        <v>2249921.4972067</v>
      </c>
      <c r="F12" s="27" t="n">
        <f aca="false">D12/E12*100</f>
        <v>103.319317644974</v>
      </c>
      <c r="G12" s="9" t="str">
        <f aca="false">IF(F12&gt;110,"Under-represented (large seat population)",IF(F12&lt;90,"Over-represented (small seat population)","Broadly proportionate"))</f>
        <v>Broadly proportionate</v>
      </c>
    </row>
    <row r="13" customFormat="false" ht="15" hidden="false" customHeight="false" outlineLevel="0" collapsed="false">
      <c r="A13" s="9" t="s">
        <v>12</v>
      </c>
      <c r="B13" s="9" t="n">
        <v>25</v>
      </c>
      <c r="C13" s="10" t="n">
        <v>68548437</v>
      </c>
      <c r="D13" s="10" t="n">
        <f aca="false">C13/B13</f>
        <v>2741937.48</v>
      </c>
      <c r="E13" s="10" t="n">
        <f aca="false">SUM($C$5:$C$35)/SUM($B$5:$B$35)</f>
        <v>2249921.4972067</v>
      </c>
      <c r="F13" s="27" t="n">
        <f aca="false">D13/E13*100</f>
        <v>121.86813999529</v>
      </c>
      <c r="G13" s="9" t="str">
        <f aca="false">IF(F13&gt;110,"Under-represented (large seat population)",IF(F13&lt;90,"Over-represented (small seat population)","Broadly proportionate"))</f>
        <v>Under-represented (large seat population)</v>
      </c>
    </row>
    <row r="14" customFormat="false" ht="15" hidden="false" customHeight="false" outlineLevel="0" collapsed="false">
      <c r="A14" s="9" t="s">
        <v>84</v>
      </c>
      <c r="B14" s="9" t="n">
        <v>25</v>
      </c>
      <c r="C14" s="10" t="n">
        <v>49577103</v>
      </c>
      <c r="D14" s="10" t="n">
        <f aca="false">C14/B14</f>
        <v>1983084.12</v>
      </c>
      <c r="E14" s="10" t="n">
        <f aca="false">SUM($C$5:$C$35)/SUM($B$5:$B$35)</f>
        <v>2249921.4972067</v>
      </c>
      <c r="F14" s="27" t="n">
        <f aca="false">D14/E14*100</f>
        <v>88.140147221226</v>
      </c>
      <c r="G14" s="9" t="str">
        <f aca="false">IF(F14&gt;110,"Under-represented (large seat population)",IF(F14&lt;90,"Over-represented (small seat population)","Broadly proportionate"))</f>
        <v>Over-represented (small seat population)</v>
      </c>
    </row>
    <row r="15" customFormat="false" ht="15" hidden="false" customHeight="false" outlineLevel="0" collapsed="false">
      <c r="A15" s="9" t="s">
        <v>85</v>
      </c>
      <c r="B15" s="9" t="n">
        <v>21</v>
      </c>
      <c r="C15" s="10" t="n">
        <v>41974219</v>
      </c>
      <c r="D15" s="10" t="n">
        <f aca="false">C15/B15</f>
        <v>1998772.33333333</v>
      </c>
      <c r="E15" s="10" t="n">
        <f aca="false">SUM($C$5:$C$35)/SUM($B$5:$B$35)</f>
        <v>2249921.4972067</v>
      </c>
      <c r="F15" s="27" t="n">
        <f aca="false">D15/E15*100</f>
        <v>88.8374254752811</v>
      </c>
      <c r="G15" s="9" t="str">
        <f aca="false">IF(F15&gt;110,"Under-represented (large seat population)",IF(F15&lt;90,"Over-represented (small seat population)","Broadly proportionate"))</f>
        <v>Over-represented (small seat population)</v>
      </c>
    </row>
    <row r="16" customFormat="false" ht="15" hidden="false" customHeight="false" outlineLevel="0" collapsed="false">
      <c r="A16" s="9" t="s">
        <v>86</v>
      </c>
      <c r="B16" s="9" t="n">
        <v>20</v>
      </c>
      <c r="C16" s="10" t="n">
        <v>33406061</v>
      </c>
      <c r="D16" s="10" t="n">
        <f aca="false">C16/B16</f>
        <v>1670303.05</v>
      </c>
      <c r="E16" s="10" t="n">
        <f aca="false">SUM($C$5:$C$35)/SUM($B$5:$B$35)</f>
        <v>2249921.4972067</v>
      </c>
      <c r="F16" s="27" t="n">
        <f aca="false">D16/E16*100</f>
        <v>74.2382812944227</v>
      </c>
      <c r="G16" s="9" t="str">
        <f aca="false">IF(F16&gt;110,"Under-represented (large seat population)",IF(F16&lt;90,"Over-represented (small seat population)","Broadly proportionate"))</f>
        <v>Over-represented (small seat population)</v>
      </c>
    </row>
    <row r="17" customFormat="false" ht="15" hidden="false" customHeight="false" outlineLevel="0" collapsed="false">
      <c r="A17" s="9" t="s">
        <v>87</v>
      </c>
      <c r="B17" s="9" t="n">
        <v>17</v>
      </c>
      <c r="C17" s="10" t="n">
        <v>35003674</v>
      </c>
      <c r="D17" s="10" t="n">
        <f aca="false">C17/B17</f>
        <v>2059039.64705882</v>
      </c>
      <c r="E17" s="10" t="n">
        <f aca="false">SUM($C$5:$C$35)/SUM($B$5:$B$35)</f>
        <v>2249921.4972067</v>
      </c>
      <c r="F17" s="27" t="n">
        <f aca="false">D17/E17*100</f>
        <v>91.5160662100939</v>
      </c>
      <c r="G17" s="9" t="str">
        <f aca="false">IF(F17&gt;110,"Under-represented (large seat population)",IF(F17&lt;90,"Over-represented (small seat population)","Broadly proportionate"))</f>
        <v>Broadly proportionate</v>
      </c>
    </row>
    <row r="18" customFormat="false" ht="15" hidden="false" customHeight="false" outlineLevel="0" collapsed="false">
      <c r="A18" s="9" t="s">
        <v>28</v>
      </c>
      <c r="B18" s="9" t="n">
        <v>14</v>
      </c>
      <c r="C18" s="10" t="n">
        <v>32988134</v>
      </c>
      <c r="D18" s="10" t="n">
        <f aca="false">C18/B18</f>
        <v>2356295.28571429</v>
      </c>
      <c r="E18" s="10" t="n">
        <f aca="false">SUM($C$5:$C$35)/SUM($B$5:$B$35)</f>
        <v>2249921.4972067</v>
      </c>
      <c r="F18" s="27" t="n">
        <f aca="false">D18/E18*100</f>
        <v>104.72788889033</v>
      </c>
      <c r="G18" s="9" t="str">
        <f aca="false">IF(F18&gt;110,"Under-represented (large seat population)",IF(F18&lt;90,"Over-represented (small seat population)","Broadly proportionate"))</f>
        <v>Broadly proportionate</v>
      </c>
    </row>
    <row r="19" customFormat="false" ht="15" hidden="false" customHeight="false" outlineLevel="0" collapsed="false">
      <c r="A19" s="9" t="s">
        <v>88</v>
      </c>
      <c r="B19" s="9" t="n">
        <v>14</v>
      </c>
      <c r="C19" s="10" t="n">
        <v>31205576</v>
      </c>
      <c r="D19" s="10" t="n">
        <f aca="false">C19/B19</f>
        <v>2228969.71428571</v>
      </c>
      <c r="E19" s="10" t="n">
        <f aca="false">SUM($C$5:$C$35)/SUM($B$5:$B$35)</f>
        <v>2249921.4972067</v>
      </c>
      <c r="F19" s="27" t="n">
        <f aca="false">D19/E19*100</f>
        <v>99.0687771574696</v>
      </c>
      <c r="G19" s="9" t="str">
        <f aca="false">IF(F19&gt;110,"Under-represented (large seat population)",IF(F19&lt;90,"Over-represented (small seat population)","Broadly proportionate"))</f>
        <v>Broadly proportionate</v>
      </c>
    </row>
    <row r="20" customFormat="false" ht="15" hidden="false" customHeight="false" outlineLevel="0" collapsed="false">
      <c r="A20" s="9" t="s">
        <v>89</v>
      </c>
      <c r="B20" s="9" t="n">
        <v>13</v>
      </c>
      <c r="C20" s="10" t="n">
        <v>27743338</v>
      </c>
      <c r="D20" s="10" t="n">
        <f aca="false">C20/B20</f>
        <v>2134102.92307692</v>
      </c>
      <c r="E20" s="10" t="n">
        <f aca="false">SUM($C$5:$C$35)/SUM($B$5:$B$35)</f>
        <v>2249921.4972067</v>
      </c>
      <c r="F20" s="27" t="n">
        <f aca="false">D20/E20*100</f>
        <v>94.8523282135145</v>
      </c>
      <c r="G20" s="9" t="str">
        <f aca="false">IF(F20&gt;110,"Under-represented (large seat population)",IF(F20&lt;90,"Over-represented (small seat population)","Broadly proportionate"))</f>
        <v>Broadly proportionate</v>
      </c>
    </row>
    <row r="21" customFormat="false" ht="15" hidden="false" customHeight="false" outlineLevel="0" collapsed="false">
      <c r="A21" s="9" t="s">
        <v>24</v>
      </c>
      <c r="B21" s="9" t="n">
        <v>11</v>
      </c>
      <c r="C21" s="10" t="n">
        <v>25545198</v>
      </c>
      <c r="D21" s="10" t="n">
        <f aca="false">C21/B21</f>
        <v>2322290.72727273</v>
      </c>
      <c r="E21" s="10" t="n">
        <f aca="false">SUM($C$5:$C$35)/SUM($B$5:$B$35)</f>
        <v>2249921.4972067</v>
      </c>
      <c r="F21" s="27" t="n">
        <f aca="false">D21/E21*100</f>
        <v>103.216522450044</v>
      </c>
      <c r="G21" s="9" t="str">
        <f aca="false">IF(F21&gt;110,"Under-represented (large seat population)",IF(F21&lt;90,"Over-represented (small seat population)","Broadly proportionate"))</f>
        <v>Broadly proportionate</v>
      </c>
    </row>
    <row r="22" customFormat="false" ht="15" hidden="false" customHeight="false" outlineLevel="0" collapsed="false">
      <c r="A22" s="9" t="s">
        <v>14</v>
      </c>
      <c r="B22" s="9" t="n">
        <v>10</v>
      </c>
      <c r="C22" s="10" t="n">
        <v>25351462</v>
      </c>
      <c r="D22" s="10" t="n">
        <f aca="false">C22/B22</f>
        <v>2535146.2</v>
      </c>
      <c r="E22" s="10" t="n">
        <f aca="false">SUM($C$5:$C$35)/SUM($B$5:$B$35)</f>
        <v>2249921.4972067</v>
      </c>
      <c r="F22" s="27" t="n">
        <f aca="false">D22/E22*100</f>
        <v>112.677095763004</v>
      </c>
      <c r="G22" s="9" t="str">
        <f aca="false">IF(F22&gt;110,"Under-represented (large seat population)",IF(F22&lt;90,"Over-represented (small seat population)","Broadly proportionate"))</f>
        <v>Under-represented (large seat population)</v>
      </c>
    </row>
    <row r="23" customFormat="false" ht="15" hidden="false" customHeight="false" outlineLevel="0" collapsed="false">
      <c r="A23" s="9" t="s">
        <v>10</v>
      </c>
      <c r="B23" s="9" t="n">
        <v>7</v>
      </c>
      <c r="C23" s="10" t="n">
        <v>16787941</v>
      </c>
      <c r="D23" s="10" t="n">
        <f aca="false">C23/B23</f>
        <v>2398277.28571429</v>
      </c>
      <c r="E23" s="10" t="n">
        <f aca="false">SUM($C$5:$C$35)/SUM($B$5:$B$35)</f>
        <v>2249921.4972067</v>
      </c>
      <c r="F23" s="27" t="n">
        <f aca="false">D23/E23*100</f>
        <v>106.593820659599</v>
      </c>
      <c r="G23" s="9" t="str">
        <f aca="false">IF(F23&gt;110,"Under-represented (large seat population)",IF(F23&lt;90,"Over-represented (small seat population)","Broadly proportionate"))</f>
        <v>Broadly proportionate</v>
      </c>
    </row>
    <row r="24" customFormat="false" ht="15" hidden="false" customHeight="false" outlineLevel="0" collapsed="false">
      <c r="A24" s="9" t="s">
        <v>91</v>
      </c>
      <c r="B24" s="9" t="n">
        <v>5</v>
      </c>
      <c r="C24" s="10" t="n">
        <v>12267032</v>
      </c>
      <c r="D24" s="10" t="n">
        <f aca="false">C24/B24</f>
        <v>2453406.4</v>
      </c>
      <c r="E24" s="10" t="n">
        <f aca="false">SUM($C$5:$C$35)/SUM($B$5:$B$35)</f>
        <v>2249921.4972067</v>
      </c>
      <c r="F24" s="27" t="n">
        <f aca="false">D24/E24*100</f>
        <v>109.044089006924</v>
      </c>
      <c r="G24" s="9" t="str">
        <f aca="false">IF(F24&gt;110,"Under-represented (large seat population)",IF(F24&lt;90,"Over-represented (small seat population)","Broadly proportionate"))</f>
        <v>Broadly proportionate</v>
      </c>
    </row>
    <row r="25" customFormat="false" ht="15" hidden="false" customHeight="false" outlineLevel="0" collapsed="false">
      <c r="A25" s="9" t="s">
        <v>90</v>
      </c>
      <c r="B25" s="9" t="n">
        <v>5</v>
      </c>
      <c r="C25" s="10" t="n">
        <v>10086292</v>
      </c>
      <c r="D25" s="10" t="n">
        <f aca="false">C25/B25</f>
        <v>2017258.4</v>
      </c>
      <c r="E25" s="10" t="n">
        <f aca="false">SUM($C$5:$C$35)/SUM($B$5:$B$35)</f>
        <v>2249921.4972067</v>
      </c>
      <c r="F25" s="27" t="n">
        <f aca="false">D25/E25*100</f>
        <v>89.6590571050787</v>
      </c>
      <c r="G25" s="9" t="str">
        <f aca="false">IF(F25&gt;110,"Under-represented (large seat population)",IF(F25&lt;90,"Over-represented (small seat population)","Broadly proportionate"))</f>
        <v>Over-represented (small seat population)</v>
      </c>
    </row>
    <row r="26" customFormat="false" ht="15" hidden="false" customHeight="false" outlineLevel="0" collapsed="false">
      <c r="A26" s="9" t="s">
        <v>92</v>
      </c>
      <c r="B26" s="9" t="n">
        <v>4</v>
      </c>
      <c r="C26" s="10" t="n">
        <v>6864602</v>
      </c>
      <c r="D26" s="10" t="n">
        <f aca="false">C26/B26</f>
        <v>1716150.5</v>
      </c>
      <c r="E26" s="10" t="n">
        <f aca="false">SUM($C$5:$C$35)/SUM($B$5:$B$35)</f>
        <v>2249921.4972067</v>
      </c>
      <c r="F26" s="27" t="n">
        <f aca="false">D26/E26*100</f>
        <v>76.2760168357258</v>
      </c>
      <c r="G26" s="9" t="str">
        <f aca="false">IF(F26&gt;110,"Under-represented (large seat population)",IF(F26&lt;90,"Over-represented (small seat population)","Broadly proportionate"))</f>
        <v>Over-represented (small seat population)</v>
      </c>
    </row>
    <row r="27" customFormat="false" ht="15" hidden="false" customHeight="false" outlineLevel="0" collapsed="false">
      <c r="A27" s="9" t="s">
        <v>19</v>
      </c>
      <c r="B27" s="9" t="n">
        <v>2</v>
      </c>
      <c r="C27" s="10" t="n">
        <v>1383727</v>
      </c>
      <c r="D27" s="10" t="n">
        <f aca="false">C27/B27</f>
        <v>691863.5</v>
      </c>
      <c r="E27" s="10" t="n">
        <f aca="false">SUM($C$5:$C$35)/SUM($B$5:$B$35)</f>
        <v>2249921.4972067</v>
      </c>
      <c r="F27" s="27" t="n">
        <f aca="false">D27/E27*100</f>
        <v>30.7505617799979</v>
      </c>
      <c r="G27" s="9" t="str">
        <f aca="false">IF(F27&gt;110,"Under-represented (large seat population)",IF(F27&lt;90,"Over-represented (small seat population)","Broadly proportionate"))</f>
        <v>Over-represented (small seat population)</v>
      </c>
    </row>
    <row r="28" customFormat="false" ht="15" hidden="false" customHeight="false" outlineLevel="0" collapsed="false">
      <c r="A28" s="9" t="s">
        <v>93</v>
      </c>
      <c r="B28" s="9" t="n">
        <v>2</v>
      </c>
      <c r="C28" s="10" t="n">
        <v>2570390</v>
      </c>
      <c r="D28" s="10" t="n">
        <f aca="false">C28/B28</f>
        <v>1285195</v>
      </c>
      <c r="E28" s="10" t="n">
        <f aca="false">SUM($C$5:$C$35)/SUM($B$5:$B$35)</f>
        <v>2249921.4972067</v>
      </c>
      <c r="F28" s="27" t="n">
        <f aca="false">D28/E28*100</f>
        <v>57.1217707638058</v>
      </c>
      <c r="G28" s="9" t="str">
        <f aca="false">IF(F28&gt;110,"Under-represented (large seat population)",IF(F28&lt;90,"Over-represented (small seat population)","Broadly proportionate"))</f>
        <v>Over-represented (small seat population)</v>
      </c>
    </row>
    <row r="29" customFormat="false" ht="15" hidden="false" customHeight="false" outlineLevel="0" collapsed="false">
      <c r="A29" s="9" t="s">
        <v>23</v>
      </c>
      <c r="B29" s="9" t="n">
        <v>2</v>
      </c>
      <c r="C29" s="10" t="n">
        <v>1458545</v>
      </c>
      <c r="D29" s="10" t="n">
        <f aca="false">C29/B29</f>
        <v>729272.5</v>
      </c>
      <c r="E29" s="10" t="n">
        <f aca="false">SUM($C$5:$C$35)/SUM($B$5:$B$35)</f>
        <v>2249921.4972067</v>
      </c>
      <c r="F29" s="27" t="n">
        <f aca="false">D29/E29*100</f>
        <v>32.4132420133502</v>
      </c>
      <c r="G29" s="9" t="str">
        <f aca="false">IF(F29&gt;110,"Under-represented (large seat population)",IF(F29&lt;90,"Over-represented (small seat population)","Broadly proportionate"))</f>
        <v>Over-represented (small seat population)</v>
      </c>
    </row>
    <row r="30" customFormat="false" ht="15" hidden="false" customHeight="false" outlineLevel="0" collapsed="false">
      <c r="A30" s="9" t="s">
        <v>95</v>
      </c>
      <c r="B30" s="9" t="n">
        <v>2</v>
      </c>
      <c r="C30" s="10" t="n">
        <v>3673917</v>
      </c>
      <c r="D30" s="10" t="n">
        <f aca="false">C30/B30</f>
        <v>1836958.5</v>
      </c>
      <c r="E30" s="10" t="n">
        <f aca="false">SUM($C$5:$C$35)/SUM($B$5:$B$35)</f>
        <v>2249921.4972067</v>
      </c>
      <c r="F30" s="27" t="n">
        <f aca="false">D30/E30*100</f>
        <v>81.6454486203452</v>
      </c>
      <c r="G30" s="9" t="str">
        <f aca="false">IF(F30&gt;110,"Under-represented (large seat population)",IF(F30&lt;90,"Over-represented (small seat population)","Broadly proportionate"))</f>
        <v>Over-represented (small seat population)</v>
      </c>
    </row>
    <row r="31" customFormat="false" ht="15" hidden="false" customHeight="false" outlineLevel="0" collapsed="false">
      <c r="A31" s="9" t="s">
        <v>94</v>
      </c>
      <c r="B31" s="9" t="n">
        <v>2</v>
      </c>
      <c r="C31" s="10" t="n">
        <v>2966889</v>
      </c>
      <c r="D31" s="10" t="n">
        <f aca="false">C31/B31</f>
        <v>1483444.5</v>
      </c>
      <c r="E31" s="10" t="n">
        <f aca="false">SUM($C$5:$C$35)/SUM($B$5:$B$35)</f>
        <v>2249921.4972067</v>
      </c>
      <c r="F31" s="27" t="n">
        <f aca="false">D31/E31*100</f>
        <v>65.9331670834609</v>
      </c>
      <c r="G31" s="9" t="str">
        <f aca="false">IF(F31&gt;110,"Under-represented (large seat population)",IF(F31&lt;90,"Over-represented (small seat population)","Broadly proportionate"))</f>
        <v>Over-represented (small seat population)</v>
      </c>
    </row>
    <row r="32" customFormat="false" ht="15" hidden="false" customHeight="false" outlineLevel="0" collapsed="false">
      <c r="A32" s="9" t="s">
        <v>21</v>
      </c>
      <c r="B32" s="9" t="n">
        <v>1</v>
      </c>
      <c r="C32" s="10" t="n">
        <v>610577</v>
      </c>
      <c r="D32" s="10" t="n">
        <f aca="false">C32/B32</f>
        <v>610577</v>
      </c>
      <c r="E32" s="10" t="n">
        <f aca="false">SUM($C$5:$C$35)/SUM($B$5:$B$35)</f>
        <v>2249921.4972067</v>
      </c>
      <c r="F32" s="27" t="n">
        <f aca="false">D32/E32*100</f>
        <v>27.1377023935296</v>
      </c>
      <c r="G32" s="9" t="str">
        <f aca="false">IF(F32&gt;110,"Under-represented (large seat population)",IF(F32&lt;90,"Over-represented (small seat population)","Broadly proportionate"))</f>
        <v>Over-represented (small seat population)</v>
      </c>
    </row>
    <row r="33" customFormat="false" ht="15" hidden="false" customHeight="false" outlineLevel="0" collapsed="false">
      <c r="A33" s="9" t="s">
        <v>96</v>
      </c>
      <c r="B33" s="9" t="n">
        <v>1</v>
      </c>
      <c r="C33" s="10" t="n">
        <v>1978502</v>
      </c>
      <c r="D33" s="10" t="n">
        <f aca="false">C33/B33</f>
        <v>1978502</v>
      </c>
      <c r="E33" s="10" t="n">
        <f aca="false">SUM($C$5:$C$35)/SUM($B$5:$B$35)</f>
        <v>2249921.4972067</v>
      </c>
      <c r="F33" s="27" t="n">
        <f aca="false">D33/E33*100</f>
        <v>87.936490337833</v>
      </c>
      <c r="G33" s="9" t="str">
        <f aca="false">IF(F33&gt;110,"Under-represented (large seat population)",IF(F33&lt;90,"Over-represented (small seat population)","Broadly proportionate"))</f>
        <v>Over-represented (small seat population)</v>
      </c>
    </row>
    <row r="34" customFormat="false" ht="15" hidden="false" customHeight="false" outlineLevel="0" collapsed="false">
      <c r="A34" s="9" t="s">
        <v>27</v>
      </c>
      <c r="B34" s="9" t="n">
        <v>1</v>
      </c>
      <c r="C34" s="10" t="n">
        <v>1097206</v>
      </c>
      <c r="D34" s="10" t="n">
        <f aca="false">C34/B34</f>
        <v>1097206</v>
      </c>
      <c r="E34" s="10" t="n">
        <f aca="false">SUM($C$5:$C$35)/SUM($B$5:$B$35)</f>
        <v>2249921.4972067</v>
      </c>
      <c r="F34" s="27" t="n">
        <f aca="false">D34/E34*100</f>
        <v>48.7664125776028</v>
      </c>
      <c r="G34" s="9" t="str">
        <f aca="false">IF(F34&gt;110,"Under-represented (large seat population)",IF(F34&lt;90,"Over-represented (small seat population)","Broadly proportionate"))</f>
        <v>Over-represented (small seat population)</v>
      </c>
    </row>
    <row r="35" customFormat="false" ht="15" hidden="false" customHeight="false" outlineLevel="0" collapsed="false">
      <c r="A35" s="9" t="s">
        <v>29</v>
      </c>
      <c r="B35" s="9" t="n">
        <v>1</v>
      </c>
      <c r="C35" s="10" t="n">
        <v>1247953</v>
      </c>
      <c r="D35" s="10" t="n">
        <f aca="false">C35/B35</f>
        <v>1247953</v>
      </c>
      <c r="E35" s="10" t="n">
        <f aca="false">SUM($C$5:$C$35)/SUM($B$5:$B$35)</f>
        <v>2249921.4972067</v>
      </c>
      <c r="F35" s="27" t="n">
        <f aca="false">D35/E35*100</f>
        <v>55.466513011647</v>
      </c>
      <c r="G35" s="9" t="str">
        <f aca="false">IF(F35&gt;110,"Under-represented (large seat population)",IF(F35&lt;90,"Over-represented (small seat population)","Broadly proportionate"))</f>
        <v>Over-represented (small seat population)</v>
      </c>
    </row>
    <row r="37" customFormat="false" ht="15" hidden="false" customHeight="false" outlineLevel="0" collapsed="false">
      <c r="A37" s="26" t="s">
        <v>123</v>
      </c>
      <c r="B37" s="26"/>
      <c r="C37" s="26"/>
      <c r="D37" s="26"/>
      <c r="E37" s="26"/>
      <c r="F37" s="26"/>
      <c r="G37" s="26"/>
    </row>
    <row r="38" customFormat="false" ht="15" hidden="false" customHeight="false" outlineLevel="0" collapsed="false">
      <c r="A38" s="26" t="s">
        <v>124</v>
      </c>
      <c r="B38" s="26"/>
      <c r="C38" s="26"/>
      <c r="D38" s="26"/>
      <c r="E38" s="26"/>
      <c r="F38" s="26"/>
      <c r="G38" s="26"/>
    </row>
  </sheetData>
  <mergeCells count="4">
    <mergeCell ref="A1:G1"/>
    <mergeCell ref="A2:G2"/>
    <mergeCell ref="A37:G37"/>
    <mergeCell ref="A38:G38"/>
  </mergeCells>
  <conditionalFormatting sqref="F5:F35">
    <cfRule type="cellIs" priority="2" operator="greaterThan" aboveAverage="0" equalAverage="0" bottom="0" percent="0" rank="0" text="" dxfId="0">
      <formula>110</formula>
    </cfRule>
    <cfRule type="cellIs" priority="3" operator="lessThan" aboveAverage="0" equalAverage="0" bottom="0" percent="0" rank="0" text="" dxfId="1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2026-06-29T13:49:02Z</dcterms:created>
  <dc:creator>openpyxl</dc:creator>
  <dc:description/>
  <dc:language>en-US</dc:language>
  <cp:lastModifiedBy/>
  <dcterms:modified xsi:type="dcterms:W3CDTF">2026-06-29T13:49:08Z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