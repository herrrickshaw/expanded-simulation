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ect Answer" sheetId="1" state="visible" r:id="rId3"/>
    <sheet name="Methodology" sheetId="2" state="visible" r:id="rId4"/>
    <sheet name="Full Sweep Data &amp; Charts" sheetId="3" state="visible" r:id="rId5"/>
    <sheet name="Assumption Audi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<sst xmlns="http://schemas.openxmlformats.org/spreadsheetml/2006/main" count="174" uniqueCount="174">
  <si>
    <t xml:space="preserve">** IMPORTANT DISCLAIMER -- READ BEFORE THE RESULTS BELOW **</t>
  </si>
  <si>
    <t xml:space="preserve">The 'volatility falls as seats increase' finding on this sheet is REAL, but it does</t>
  </si>
  <si>
    <t xml:space="preserve">NOT mean a bigger House is more fair. This needs to be stated as bluntly as possible:</t>
  </si>
  <si>
    <t xml:space="preserve">If every seat were a FAIR 50/50 coin flip, then whether you flip the coin 534 times</t>
  </si>
  <si>
    <t xml:space="preserve">or 1,000 times, the PROBABILITY of any individual flip landing on a given side is</t>
  </si>
  <si>
    <t xml:space="preserve">EXACTLY 50% either way -- flipping more times does not change that probability even</t>
  </si>
  <si>
    <t xml:space="preserve">slightly. More flips only narrows the SPREAD of the total count around the expected</t>
  </si>
  <si>
    <t xml:space="preserve">50/50 split. It does NOT shift the odds toward fairness, because the odds were never</t>
  </si>
  <si>
    <t xml:space="preserve">biased by the flip COUNT in the first place -- only by whether the coin itself is fair.</t>
  </si>
  <si>
    <t xml:space="preserve">The same logic applies here. India's seats are NOT fair 50/50 coins: NDA's underlying</t>
  </si>
  <si>
    <t xml:space="preserve">support sits at roughly 53%, not 50%. That means MORE seats does not pull the system</t>
  </si>
  <si>
    <t xml:space="preserve">toward 50/50 fairness -- it pulls the result MORE TIGHTLY toward NDA's existing</t>
  </si>
  <si>
    <t xml:space="preserve">advantage, making an NDA majority MORE CERTAIN, not less. The data below CONFIRMS</t>
  </si>
  <si>
    <t xml:space="preserve">this directly, now tested all the way to 1,000 seats: NDA's probability of keeping</t>
  </si>
  <si>
    <t xml:space="preserve">its majority RISES from 96.9% (534 seats) to 99.5% (1,000 seats) -- correlation</t>
  </si>
  <si>
    <t xml:space="preserve">+0.918 over the full range. More seats does not level the playing field here; it</t>
  </si>
  <si>
    <t xml:space="preserve">raises the floor under whoever is already ahead, and the effect does not reverse or</t>
  </si>
  <si>
    <t xml:space="preserve">plateau anywhere in the range tested.</t>
  </si>
  <si>
    <t xml:space="preserve">The 'volatility' finding is therefore better read as: more seats make the system more</t>
  </si>
  <si>
    <t xml:space="preserve">PREDICTABLE around whatever mean already exists -- biased or not -- not more FAIR.</t>
  </si>
  <si>
    <t xml:space="preserve">Extended to 1,000 Seats: Does the Pattern Reverse or Find a Sweet Spot?</t>
  </si>
  <si>
    <t xml:space="preserve">Answer: No reversal, no plateau. The entrenchment effect continues smoothly past the actual proposed ceiling of 850, all the way to 1,000.</t>
  </si>
  <si>
    <t xml:space="preserve">Avg winner's bonus,
ALL seat-totals 534-1000</t>
  </si>
  <si>
    <t xml:space="preserve">P(NDA majority)
at 534 seats</t>
  </si>
  <si>
    <t xml:space="preserve">P(NDA majority)
at 850 seats</t>
  </si>
  <si>
    <t xml:space="preserve">P(NDA majority)
at 1,000 seats</t>
  </si>
  <si>
    <t xml:space="preserve">1.16pp
(flat)</t>
  </si>
  <si>
    <t xml:space="preserve">96.9%</t>
  </si>
  <si>
    <t xml:space="preserve">98.7%</t>
  </si>
  <si>
    <t xml:space="preserve">99.5%</t>
  </si>
  <si>
    <t xml:space="preserve">Full-range correlations (534-1,000 seats, 49 points tested)</t>
  </si>
  <si>
    <t xml:space="preserve">Correlation(seats, P(NDA majority)) = +0.918  -- entrenchment strengthens</t>
  </si>
  <si>
    <t xml:space="preserve">slightly when extended past 850 (was +0.884 over 534-850 alone; +0.918 over 534-1,000).</t>
  </si>
  <si>
    <t xml:space="preserve">Correlation(seats, bonus volatility) = -0.966 -- still falling smoothly, now a</t>
  </si>
  <si>
    <t xml:space="preserve">31% total reduction in volatility from 534 to 1,000 (was 21.6% over 534-850 alone).</t>
  </si>
  <si>
    <t xml:space="preserve">Correlation(seats, mean bonus SIZE) remains ~0 -- the average bonus itself never moves,</t>
  </si>
  <si>
    <t xml:space="preserve">staying within 1.11-1.21 percentage points across all 49 seat-totals tested.</t>
  </si>
  <si>
    <t xml:space="preserve">Why 1,000 specifically doesn't change the qualitative answer</t>
  </si>
  <si>
    <t xml:space="preserve">1,000 seats is roughly 1.85x the current 543 -- well beyond even the government's</t>
  </si>
  <si>
    <t xml:space="preserve">actual proposed ceiling (850, from the defeated Delimitation Bill, 2026). Testing it</t>
  </si>
  <si>
    <t xml:space="preserve">confirms this is NOT a phenomenon specific to the 534-850 'realistic' range -- it's a</t>
  </si>
  <si>
    <t xml:space="preserve">structural property of averaging more independent draws around an off-center mean.</t>
  </si>
  <si>
    <t xml:space="preserve">There's no seat count where the curve bends back toward 50/50 fairness, because</t>
  </si>
  <si>
    <t xml:space="preserve">nothing in the simulation's mechanics would cause that -- the mean (NDA's true ~53%</t>
  </si>
  <si>
    <t xml:space="preserve">support) doesn't change with seat count, only the SPREAD around that mean shrinks.</t>
  </si>
  <si>
    <t xml:space="preserve">A genuinely toss-up race (50/50 true support) would behave differently -- see the</t>
  </si>
  <si>
    <t xml:space="preserve">caveat on this in the Methodology sheet.</t>
  </si>
  <si>
    <t xml:space="preserve">Revised bottom line, now covering 534-1,000</t>
  </si>
  <si>
    <t xml:space="preserve">No seat-total between 534 and 1,000 makes Indian elections less biased toward whoever</t>
  </si>
  <si>
    <t xml:space="preserve">currently leads. The mean winner's bonus is flat across the ENTIRE range. The</t>
  </si>
  <si>
    <t xml:space="preserve">incumbent's odds of keeping its majority climb steadily and smoothly all the way to</t>
  </si>
  <si>
    <t xml:space="preserve">99.5% at 1,000 seats -- there is no peak, no sweet spot, and no sign the relationship</t>
  </si>
  <si>
    <t xml:space="preserve">would reverse even further out. The most 'unbiased' (least entrenching) point in any</t>
  </si>
  <si>
    <t xml:space="preserve">range tested so far is simply the SMALLEST seat-total tested -- 534 -- not because it</t>
  </si>
  <si>
    <t xml:space="preserve">is fair in absolute terms (it carries the same flat ~1.15pp bonus as every other size),</t>
  </si>
  <si>
    <t xml:space="preserve">but because it entrenches the existing lead the LEAST of the options examined.</t>
  </si>
  <si>
    <t xml:space="preserve">Methodology</t>
  </si>
  <si>
    <t xml:space="preserve">Question being answered</t>
  </si>
  <si>
    <t xml:space="preserve">  'Is there a seat-total between 534 and 850 where electoral outcomes become more</t>
  </si>
  <si>
    <t xml:space="preserve">  unbiased toward the existing majority in parliament?' Interpreted using the</t>
  </si>
  <si>
    <t xml:space="preserve">  standard political-science 'winner's bonus' measure: the leading bloc's seat share</t>
  </si>
  <si>
    <t xml:space="preserve">  minus its true vote share. NDA (today's actual incumbent/leading bloc) is used</t>
  </si>
  <si>
    <t xml:space="preserve">  throughout as the bloc being checked for bias.</t>
  </si>
  <si>
    <t xml:space="preserve">A real bug found and fixed mid-analysis (documented for transparency)</t>
  </si>
  <si>
    <t xml:space="preserve">  The FIRST version of this simulation measured 'vote share' using the SAME random</t>
  </si>
  <si>
    <t xml:space="preserve">  draw that determined each seat's winner -- meaning seat share and vote share</t>
  </si>
  <si>
    <t xml:space="preserve">  tracked each other almost perfectly by construction, showing a near-zero bonus</t>
  </si>
  <si>
    <t xml:space="preserve">  (~0.0001) at every seat-total. This is NOT how a real winner's bonus arises and the</t>
  </si>
  <si>
    <t xml:space="preserve">  result was discarded. FIX: rebuilt the simulation so each constituency draws an</t>
  </si>
  <si>
    <t xml:space="preserve">  actual continuous vote-share vector (Dirichlet distribution centered on the state's</t>
  </si>
  <si>
    <t xml:space="preserve">  2024 bloc shares); the WINNER is whichever bloc has the highest drawn share in that</t>
  </si>
  <si>
    <t xml:space="preserve">  seat (the real FPTP mechanism), while the NATIONAL vote share is the seat-weighted</t>
  </si>
  <si>
    <t xml:space="preserve">  average of the underlying continuous shares, independent of who won each seat. This</t>
  </si>
  <si>
    <t xml:space="preserve">  is what allows seat share and vote share to genuinely diverge, producing a real,</t>
  </si>
  <si>
    <t xml:space="preserve">  non-trivial winner's bonus (~1.1-1.2 percentage points) consistent with published</t>
  </si>
  <si>
    <t xml:space="preserve">  estimates in the disproportionality literature for SMP/FPTP systems.</t>
  </si>
  <si>
    <t xml:space="preserve">Simulation design</t>
  </si>
  <si>
    <t xml:space="preserve">  33 seat-totals tested (534, 544, 554, ... 844, 850 -- every 10 seats plus the exact</t>
  </si>
  <si>
    <t xml:space="preserve">  endpoint). 1,500 simulations per seat-total. Each simulated seat is assigned to a</t>
  </si>
  <si>
    <t xml:space="preserve">  state by that state's CURRENT seat-count weight (today's actual geographic</t>
  </si>
  <si>
    <t xml:space="preserve">  footprint, not a delimitation-style reallocation -- this question is about House</t>
  </si>
  <si>
    <t xml:space="preserve">  SIZE holding geography fixed, a different question from the earlier delimitation</t>
  </si>
  <si>
    <t xml:space="preserve">  seat-redistribution work). Within each seat, a Dirichlet(alpha = state_mean_share *</t>
  </si>
  <si>
    <t xml:space="preserve">  18) draw produces the (NDA, INDIA, Other) vote-share vector for that constituency;</t>
  </si>
  <si>
    <t xml:space="preserve">  concentration=18 was chosen to produce realistic constituency-level variance.</t>
  </si>
  <si>
    <t xml:space="preserve">Two distinct metrics, deliberately kept separate</t>
  </si>
  <si>
    <t xml:space="preserve">  MEAN BONUS: averaged across all 1,500 simulated elections at a given seat-total --</t>
  </si>
  <si>
    <t xml:space="preserve">  answers 'on average, how biased is this seat-total.'</t>
  </si>
  <si>
    <t xml:space="preserve">  BONUS VOLATILITY (std): how much the bonus varies FROM election to election at a</t>
  </si>
  <si>
    <t xml:space="preserve">  given seat-total -- answers 'how likely is an unusually distorted result in any ONE</t>
  </si>
  <si>
    <t xml:space="preserve">  election.' These can move independently, and in this analysis they do: mean bonus is</t>
  </si>
  <si>
    <t xml:space="preserve">  flat across seat-totals while volatility falls sharply with more seats.</t>
  </si>
  <si>
    <t xml:space="preserve">Limitations</t>
  </si>
  <si>
    <t xml:space="preserve">  - This holds India's GEOGRAPHIC seat distribution fixed at today's pattern; it does</t>
  </si>
  <si>
    <t xml:space="preserve">    not model the Delimitation Bill's state-by-state reallocation (see the separate</t>
  </si>
  <si>
    <t xml:space="preserve">    'coalition-game-theory' project folder for that question).</t>
  </si>
  <si>
    <t xml:space="preserve">  - Uses only NDA/INDIA/Other as the three competing blocs, consistent with prior work</t>
  </si>
  <si>
    <t xml:space="preserve">    in this project; a finer party breakdown could show different micro-patterns.</t>
  </si>
  <si>
    <t xml:space="preserve">  - The Dirichlet concentration parameter (18) is a modeling choice calibrated to</t>
  </si>
  <si>
    <t xml:space="preserve">    produce plausible constituency-level variance, not estimated from raw vote totals</t>
  </si>
  <si>
    <t xml:space="preserve">    (which were not available at this aggregation level).</t>
  </si>
  <si>
    <t xml:space="preserve">Correction added after initial publication</t>
  </si>
  <si>
    <t xml:space="preserve">  A reader correctly pointed out that the bonus VOLATILITY finding (more seats =</t>
  </si>
  <si>
    <t xml:space="preserve">  more consistent results) risked being misread as a FAIRNESS improvement, using the</t>
  </si>
  <si>
    <t xml:space="preserve">  coin-flip analogy: a coins win probability per flip does not depend on flip count.</t>
  </si>
  <si>
    <t xml:space="preserve">  This is correct, and exposed a real gap in the original framing. The Direct Answer</t>
  </si>
  <si>
    <t xml:space="preserve">  sheet was rebuilt with a prominent disclaimer and a new finding that resolves the</t>
  </si>
  <si>
    <t xml:space="preserve">  question concretely: P(NDA majority) RISES from 96.9% to ~98.7-99.0% as seats grow</t>
  </si>
  <si>
    <t xml:space="preserve">  from 534 to 850 (correlation +0.884) -- precisely because NDAs true support is not</t>
  </si>
  <si>
    <t xml:space="preserve">  at the 50% knife-edge. More seats narrows the outcome distribution AROUND NDAs</t>
  </si>
  <si>
    <t xml:space="preserve">  existing lead, which mechanically makes that lead more certain, not more fair.</t>
  </si>
  <si>
    <t xml:space="preserve">Extended to 1,000 seats (stress test beyond the actual proposed ceiling)</t>
  </si>
  <si>
    <t xml:space="preserve">  The sweep was extended from the original 534-850 range to 534-1,000 to test whether</t>
  </si>
  <si>
    <t xml:space="preserve">  the entrenchment pattern reverses, plateaus, or finds an interior sweet spot at a</t>
  </si>
  <si>
    <t xml:space="preserve">  larger scale. It does not: P(NDA majority) keeps climbing smoothly to 99.5% at 1,000</t>
  </si>
  <si>
    <t xml:space="preserve">  seats (correlation +0.918 over the full range, slightly stronger than the +0.884</t>
  </si>
  <si>
    <t xml:space="preserve">  measured over 534-850 alone), and bonus volatility keeps falling (31.4% total</t>
  </si>
  <si>
    <t xml:space="preserve">  reduction vs 21.6% over 534-850 alone). The mean bonus itself remains flat throughout</t>
  </si>
  <si>
    <t xml:space="preserve">  (1.11-1.21pp across all 49 seat-totals tested). 1,000 seats is used here purely as a</t>
  </si>
  <si>
    <t xml:space="preserve">  stress test of the relationships pattern, not because it reflects any real proposal</t>
  </si>
  <si>
    <t xml:space="preserve">  -- the actual defeated bills ceiling was 850.</t>
  </si>
  <si>
    <t xml:space="preserve">Full Sweep: 534-1,000 Seats, Every 10 Seats Plus Key Endpoints</t>
  </si>
  <si>
    <t xml:space="preserve">1,500 simulations per seat-total, 49 seat-totals tested. NDA treated as the incumbent/leading bloc throughout. Rows for 850 (actual proposed ceiling) and 1,000 (stress test) highlighted.</t>
  </si>
  <si>
    <t xml:space="preserve">Total Seats</t>
  </si>
  <si>
    <t xml:space="preserve">Quota</t>
  </si>
  <si>
    <t xml:space="preserve">NDA Seat Share</t>
  </si>
  <si>
    <t xml:space="preserve">NDA Vote Share</t>
  </si>
  <si>
    <t xml:space="preserve">Mean Bonus (pp)</t>
  </si>
  <si>
    <t xml:space="preserve">Bonus Volatility (std)</t>
  </si>
  <si>
    <t xml:space="preserve">Gallagher Index</t>
  </si>
  <si>
    <t xml:space="preserve">P(NDA Majority)</t>
  </si>
  <si>
    <t xml:space="preserve">Assumption &amp; Random Variable Audit</t>
  </si>
  <si>
    <t xml:space="preserve">Systematic check of every modeling assumption. Two MATERIAL issues found; both quantified. Directional findings hold; absolute numbers have documented biases.</t>
  </si>
  <si>
    <t xml:space="preserve">A1: Seat-share used as Dirichlet mean (vote-share proxy)  [MATERIAL]</t>
  </si>
  <si>
    <t xml:space="preserve">WHAT IT IS: The Dirichlet distribution per constituency is centered on each state's</t>
  </si>
  <si>
    <t xml:space="preserve">2024 SEAT share (NDA seats won / total state seats), NOT its real VOTE share.</t>
  </si>
  <si>
    <t xml:space="preserve">Real NDA national VOTE share in 2024 was ~36-46%. The model uses ~52.9% as the</t>
  </si>
  <si>
    <t xml:space="preserve">Dirichlet mean -- upward biased by 7-17pp, depending on how 'vote share' is defined.</t>
  </si>
  <si>
    <t xml:space="preserve">DIRECTIONAL FINDING: Holds. P(majority) rising with seats is structural; using</t>
  </si>
  <si>
    <t xml:space="preserve">the correct ~46% vote-share mean would lower absolute probability at all seat-totals</t>
  </si>
  <si>
    <t xml:space="preserve">but preserve the upward trend. Numbers in this workbook are upward-biased in level.</t>
  </si>
  <si>
    <t xml:space="preserve">FIX NEEDED: constituency-level vote-share data (TCPD Lok Dhaba full GA file).</t>
  </si>
  <si>
    <t xml:space="preserve">Not available in this session without the user's own download.</t>
  </si>
  <si>
    <t xml:space="preserve">A2: Dirichlet concentration = 18 (per-seat variance too tight by ~1.8x)  [MATERIAL]</t>
  </si>
  <si>
    <t xml:space="preserve">WHAT IT IS: concentration=18 gives per-seat std = +/-11.5pp.</t>
  </si>
  <si>
    <t xml:space="preserve">TCPD real data shows NDA vote-share std of +/-20.6pp (2014) and +/-21.5pp (2019).</t>
  </si>
  <si>
    <t xml:space="preserve">Empirically correct concentration is ~4.5-5.0. Model is ~1.8x too tight.</t>
  </si>
  <si>
    <t xml:space="preserve">IMPACT: Mean winner's bonus rises from +1.2pp to +3.3pp at conc=5.</t>
  </si>
  <si>
    <t xml:space="preserve">P(majority) increases slightly at all seat-totals.</t>
  </si>
  <si>
    <t xml:space="preserve">All directional findings (bonus flat, volatility declining, P(majority) rising)</t>
  </si>
  <si>
    <t xml:space="preserve">HOLD at conc=5. Would FAIL at conc=2 or below (variance swamps the lead).</t>
  </si>
  <si>
    <t xml:space="preserve">conc=5 is the correct value and should be used in future versions of this model.</t>
  </si>
  <si>
    <t xml:space="preserve">A3: Seat-count sampling weights (frozen 1971 Census allocation)  [MINOR]</t>
  </si>
  <si>
    <t xml:space="preserve">Each simulated seat is assigned to a state proportional to its CURRENT seat count,</t>
  </si>
  <si>
    <t xml:space="preserve">not 2011 Census population. Max divergence: 1.8pp (UP). Using population weights</t>
  </si>
  <si>
    <t xml:space="preserve">would shift more simulated seats to NDA-leaning states, mildly raising P(majority).</t>
  </si>
  <si>
    <t xml:space="preserve">Directionally consistent with the main finding, not against it.</t>
  </si>
  <si>
    <t xml:space="preserve">A4: 3-bloc FPTP -- winner = argmax over NDA/INDIA/Other  [MINOR]</t>
  </si>
  <si>
    <t xml:space="preserve">Real elections have 5-8+ candidates. Collapsing to 3 blocs understates multi-cornered</t>
  </si>
  <si>
    <t xml:space="preserve">contests. FPTP rule (winner = argmax) is correctly implemented; 3-way simplification</t>
  </si>
  <si>
    <t xml:space="preserve">is the appropriate scope limitation, not a bug.</t>
  </si>
  <si>
    <t xml:space="preserve">A5: N_SIMULATIONS = 1500  [ACCEPTABLE]</t>
  </si>
  <si>
    <t xml:space="preserve">SE at P=0.97: +/-0.44pp. At P=0.50: +/-1.29pp. Adequate for trend detection.</t>
  </si>
  <si>
    <t xml:space="preserve">Not adequate for fine-grained ranking between adjacent 10-seat totals.</t>
  </si>
  <si>
    <t xml:space="preserve">A6: Vote share = unweighted constituency mean (equal weight per seat)  [CORRECT]</t>
  </si>
  <si>
    <t xml:space="preserve">Matches Gallagher disproportionality index convention. Appropriate for 'per-seat bias'.</t>
  </si>
  <si>
    <t xml:space="preserve">A7: Majority quota = total//2 + 1  [CORRECT]</t>
  </si>
  <si>
    <t xml:space="preserve">Correct for Indian constitution (Article 75(3)). Appropriate scope for structural analysis.</t>
  </si>
  <si>
    <t xml:space="preserve">Net verdict: what you can and cannot trust from these results</t>
  </si>
  <si>
    <t xml:space="preserve">TRUST (direction): P(majority) rising with seats, bonus flat, volatility declining.</t>
  </si>
  <si>
    <t xml:space="preserve">TRUST (symmetry): NDA vs INDIA mirroring -- A1 and A2 biases apply equally to both sides.</t>
  </si>
  <si>
    <t xml:space="preserve">DO NOT CITE as point estimates: actual P(majority) numbers are upward-biased (A1)</t>
  </si>
  <si>
    <t xml:space="preserve">and winner's bonus is downward-biased by ~3x vs real-data-grounded model (A2).</t>
  </si>
  <si>
    <t xml:space="preserve">FUTURE FIX: use real vote shares from TCPD GA file + concentration=5, not 18.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</si>
</sst>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37562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AF1F8"/>
        <bgColor rgb="FFFFFFFF"/>
      </patternFill>
    </fill>
    <fill>
      <patternFill patternType="solid">
        <fgColor rgb="FFF8CBAD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AF1F8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Bonus Volatility (std across elections) vs. Total Seats, 534-1,000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'Full Sweep Data &amp; Charts'!F4</c:f>
              <c:strCache>
                <c:ptCount val="1"/>
                <c:pt idx="0">
                  <c:v>Bonus Volatility (std)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'Full Sweep Data &amp; Charts'!$A$5:$A$53</c:f>
              <c:strCache>
                <c:ptCount val="49"/>
                <c:pt idx="0">
                  <c:v>534</c:v>
                </c:pt>
                <c:pt idx="1">
                  <c:v>544</c:v>
                </c:pt>
                <c:pt idx="2">
                  <c:v>554</c:v>
                </c:pt>
                <c:pt idx="3">
                  <c:v>564</c:v>
                </c:pt>
                <c:pt idx="4">
                  <c:v>574</c:v>
                </c:pt>
                <c:pt idx="5">
                  <c:v>584</c:v>
                </c:pt>
                <c:pt idx="6">
                  <c:v>594</c:v>
                </c:pt>
                <c:pt idx="7">
                  <c:v>604</c:v>
                </c:pt>
                <c:pt idx="8">
                  <c:v>614</c:v>
                </c:pt>
                <c:pt idx="9">
                  <c:v>624</c:v>
                </c:pt>
                <c:pt idx="10">
                  <c:v>634</c:v>
                </c:pt>
                <c:pt idx="11">
                  <c:v>644</c:v>
                </c:pt>
                <c:pt idx="12">
                  <c:v>654</c:v>
                </c:pt>
                <c:pt idx="13">
                  <c:v>664</c:v>
                </c:pt>
                <c:pt idx="14">
                  <c:v>674</c:v>
                </c:pt>
                <c:pt idx="15">
                  <c:v>684</c:v>
                </c:pt>
                <c:pt idx="16">
                  <c:v>694</c:v>
                </c:pt>
                <c:pt idx="17">
                  <c:v>704</c:v>
                </c:pt>
                <c:pt idx="18">
                  <c:v>714</c:v>
                </c:pt>
                <c:pt idx="19">
                  <c:v>724</c:v>
                </c:pt>
                <c:pt idx="20">
                  <c:v>734</c:v>
                </c:pt>
                <c:pt idx="21">
                  <c:v>744</c:v>
                </c:pt>
                <c:pt idx="22">
                  <c:v>754</c:v>
                </c:pt>
                <c:pt idx="23">
                  <c:v>764</c:v>
                </c:pt>
                <c:pt idx="24">
                  <c:v>774</c:v>
                </c:pt>
                <c:pt idx="25">
                  <c:v>784</c:v>
                </c:pt>
                <c:pt idx="26">
                  <c:v>794</c:v>
                </c:pt>
                <c:pt idx="27">
                  <c:v>804</c:v>
                </c:pt>
                <c:pt idx="28">
                  <c:v>814</c:v>
                </c:pt>
                <c:pt idx="29">
                  <c:v>824</c:v>
                </c:pt>
                <c:pt idx="30">
                  <c:v>834</c:v>
                </c:pt>
                <c:pt idx="31">
                  <c:v>844</c:v>
                </c:pt>
                <c:pt idx="32">
                  <c:v>850</c:v>
                </c:pt>
                <c:pt idx="33">
                  <c:v>854</c:v>
                </c:pt>
                <c:pt idx="34">
                  <c:v>864</c:v>
                </c:pt>
                <c:pt idx="35">
                  <c:v>874</c:v>
                </c:pt>
                <c:pt idx="36">
                  <c:v>884</c:v>
                </c:pt>
                <c:pt idx="37">
                  <c:v>894</c:v>
                </c:pt>
                <c:pt idx="38">
                  <c:v>904</c:v>
                </c:pt>
                <c:pt idx="39">
                  <c:v>914</c:v>
                </c:pt>
                <c:pt idx="40">
                  <c:v>924</c:v>
                </c:pt>
                <c:pt idx="41">
                  <c:v>934</c:v>
                </c:pt>
                <c:pt idx="42">
                  <c:v>944</c:v>
                </c:pt>
                <c:pt idx="43">
                  <c:v>954</c:v>
                </c:pt>
                <c:pt idx="44">
                  <c:v>964</c:v>
                </c:pt>
                <c:pt idx="45">
                  <c:v>974</c:v>
                </c:pt>
                <c:pt idx="46">
                  <c:v>984</c:v>
                </c:pt>
                <c:pt idx="47">
                  <c:v>994</c:v>
                </c:pt>
                <c:pt idx="48">
                  <c:v>1000</c:v>
                </c:pt>
              </c:strCache>
            </c:strRef>
          </c:cat>
          <c:val>
            <c:numRef>
              <c:f>'Full Sweep Data &amp; Charts'!$F$5:$F$53</c:f>
              <c:numCache>
                <c:formatCode>0.00</c:formatCode>
                <c:ptCount val="49"/>
                <c:pt idx="0">
                  <c:v>1.26054027900826</c:v>
                </c:pt>
                <c:pt idx="1">
                  <c:v>1.26814587531391</c:v>
                </c:pt>
                <c:pt idx="2">
                  <c:v>1.23392428018707</c:v>
                </c:pt>
                <c:pt idx="3">
                  <c:v>1.17594189668727</c:v>
                </c:pt>
                <c:pt idx="4">
                  <c:v>1.17611696879726</c:v>
                </c:pt>
                <c:pt idx="5">
                  <c:v>1.17408421671497</c:v>
                </c:pt>
                <c:pt idx="6">
                  <c:v>1.16401267091467</c:v>
                </c:pt>
                <c:pt idx="7">
                  <c:v>1.11956692217534</c:v>
                </c:pt>
                <c:pt idx="8">
                  <c:v>1.12999359741394</c:v>
                </c:pt>
                <c:pt idx="9">
                  <c:v>1.11310714377387</c:v>
                </c:pt>
                <c:pt idx="10">
                  <c:v>1.10651334141389</c:v>
                </c:pt>
                <c:pt idx="11">
                  <c:v>1.12088552013952</c:v>
                </c:pt>
                <c:pt idx="12">
                  <c:v>1.11857303030533</c:v>
                </c:pt>
                <c:pt idx="13">
                  <c:v>1.10039126300323</c:v>
                </c:pt>
                <c:pt idx="14">
                  <c:v>1.07554404449264</c:v>
                </c:pt>
                <c:pt idx="15">
                  <c:v>1.08370227906107</c:v>
                </c:pt>
                <c:pt idx="16">
                  <c:v>1.05832400503647</c:v>
                </c:pt>
                <c:pt idx="17">
                  <c:v>1.0348499648866</c:v>
                </c:pt>
                <c:pt idx="18">
                  <c:v>1.05272951774144</c:v>
                </c:pt>
                <c:pt idx="19">
                  <c:v>1.08297776839434</c:v>
                </c:pt>
                <c:pt idx="20">
                  <c:v>1.04232247256382</c:v>
                </c:pt>
                <c:pt idx="21">
                  <c:v>1.03151004545962</c:v>
                </c:pt>
                <c:pt idx="22">
                  <c:v>1.03155214878068</c:v>
                </c:pt>
                <c:pt idx="23">
                  <c:v>1.03054484956045</c:v>
                </c:pt>
                <c:pt idx="24">
                  <c:v>0.99272588627959</c:v>
                </c:pt>
                <c:pt idx="25">
                  <c:v>1.01945713789663</c:v>
                </c:pt>
                <c:pt idx="26">
                  <c:v>1.0271691517007</c:v>
                </c:pt>
                <c:pt idx="27">
                  <c:v>0.97110311980222</c:v>
                </c:pt>
                <c:pt idx="28">
                  <c:v>0.99180988333419</c:v>
                </c:pt>
                <c:pt idx="29">
                  <c:v>0.97387113179836</c:v>
                </c:pt>
                <c:pt idx="30">
                  <c:v>0.96984054930824</c:v>
                </c:pt>
                <c:pt idx="31">
                  <c:v>0.9881947868341</c:v>
                </c:pt>
                <c:pt idx="32">
                  <c:v>0.98812000055918</c:v>
                </c:pt>
                <c:pt idx="33">
                  <c:v>0.9807358700466</c:v>
                </c:pt>
                <c:pt idx="34">
                  <c:v>1.01771598494596</c:v>
                </c:pt>
                <c:pt idx="35">
                  <c:v>0.97740171774581</c:v>
                </c:pt>
                <c:pt idx="36">
                  <c:v>0.98707318767649</c:v>
                </c:pt>
                <c:pt idx="37">
                  <c:v>0.9710320301214</c:v>
                </c:pt>
                <c:pt idx="38">
                  <c:v>0.92291659008837</c:v>
                </c:pt>
                <c:pt idx="39">
                  <c:v>0.92379897503001</c:v>
                </c:pt>
                <c:pt idx="40">
                  <c:v>0.94330900019405</c:v>
                </c:pt>
                <c:pt idx="41">
                  <c:v>0.91281864313774</c:v>
                </c:pt>
                <c:pt idx="42">
                  <c:v>0.94680182539323</c:v>
                </c:pt>
                <c:pt idx="43">
                  <c:v>0.91241239239123</c:v>
                </c:pt>
                <c:pt idx="44">
                  <c:v>0.90885920200077</c:v>
                </c:pt>
                <c:pt idx="45">
                  <c:v>0.86115580658837</c:v>
                </c:pt>
                <c:pt idx="46">
                  <c:v>0.89456072071183</c:v>
                </c:pt>
                <c:pt idx="47">
                  <c:v>0.91062290367696</c:v>
                </c:pt>
                <c:pt idx="48">
                  <c:v>0.86480631260262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121201"/>
        <c:axId val="71443706"/>
      </c:lineChart>
      <c:catAx>
        <c:axId val="351212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43706"/>
        <c:crosses val="autoZero"/>
        <c:auto val="1"/>
        <c:lblAlgn val="ctr"/>
        <c:lblOffset val="100"/>
        <c:noMultiLvlLbl val="0"/>
      </c:catAx>
      <c:valAx>
        <c:axId val="714437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Bonus std (percentage points)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21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Winner's Bonus vs. Total Seats (flat throughout, 534-1,000)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'Full Sweep Data &amp; Charts'!E4</c:f>
              <c:strCache>
                <c:ptCount val="1"/>
                <c:pt idx="0">
                  <c:v>Mean Bonus (pp)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'Full Sweep Data &amp; Charts'!$A$5:$A$53</c:f>
              <c:strCache>
                <c:ptCount val="49"/>
                <c:pt idx="0">
                  <c:v>534</c:v>
                </c:pt>
                <c:pt idx="1">
                  <c:v>544</c:v>
                </c:pt>
                <c:pt idx="2">
                  <c:v>554</c:v>
                </c:pt>
                <c:pt idx="3">
                  <c:v>564</c:v>
                </c:pt>
                <c:pt idx="4">
                  <c:v>574</c:v>
                </c:pt>
                <c:pt idx="5">
                  <c:v>584</c:v>
                </c:pt>
                <c:pt idx="6">
                  <c:v>594</c:v>
                </c:pt>
                <c:pt idx="7">
                  <c:v>604</c:v>
                </c:pt>
                <c:pt idx="8">
                  <c:v>614</c:v>
                </c:pt>
                <c:pt idx="9">
                  <c:v>624</c:v>
                </c:pt>
                <c:pt idx="10">
                  <c:v>634</c:v>
                </c:pt>
                <c:pt idx="11">
                  <c:v>644</c:v>
                </c:pt>
                <c:pt idx="12">
                  <c:v>654</c:v>
                </c:pt>
                <c:pt idx="13">
                  <c:v>664</c:v>
                </c:pt>
                <c:pt idx="14">
                  <c:v>674</c:v>
                </c:pt>
                <c:pt idx="15">
                  <c:v>684</c:v>
                </c:pt>
                <c:pt idx="16">
                  <c:v>694</c:v>
                </c:pt>
                <c:pt idx="17">
                  <c:v>704</c:v>
                </c:pt>
                <c:pt idx="18">
                  <c:v>714</c:v>
                </c:pt>
                <c:pt idx="19">
                  <c:v>724</c:v>
                </c:pt>
                <c:pt idx="20">
                  <c:v>734</c:v>
                </c:pt>
                <c:pt idx="21">
                  <c:v>744</c:v>
                </c:pt>
                <c:pt idx="22">
                  <c:v>754</c:v>
                </c:pt>
                <c:pt idx="23">
                  <c:v>764</c:v>
                </c:pt>
                <c:pt idx="24">
                  <c:v>774</c:v>
                </c:pt>
                <c:pt idx="25">
                  <c:v>784</c:v>
                </c:pt>
                <c:pt idx="26">
                  <c:v>794</c:v>
                </c:pt>
                <c:pt idx="27">
                  <c:v>804</c:v>
                </c:pt>
                <c:pt idx="28">
                  <c:v>814</c:v>
                </c:pt>
                <c:pt idx="29">
                  <c:v>824</c:v>
                </c:pt>
                <c:pt idx="30">
                  <c:v>834</c:v>
                </c:pt>
                <c:pt idx="31">
                  <c:v>844</c:v>
                </c:pt>
                <c:pt idx="32">
                  <c:v>850</c:v>
                </c:pt>
                <c:pt idx="33">
                  <c:v>854</c:v>
                </c:pt>
                <c:pt idx="34">
                  <c:v>864</c:v>
                </c:pt>
                <c:pt idx="35">
                  <c:v>874</c:v>
                </c:pt>
                <c:pt idx="36">
                  <c:v>884</c:v>
                </c:pt>
                <c:pt idx="37">
                  <c:v>894</c:v>
                </c:pt>
                <c:pt idx="38">
                  <c:v>904</c:v>
                </c:pt>
                <c:pt idx="39">
                  <c:v>914</c:v>
                </c:pt>
                <c:pt idx="40">
                  <c:v>924</c:v>
                </c:pt>
                <c:pt idx="41">
                  <c:v>934</c:v>
                </c:pt>
                <c:pt idx="42">
                  <c:v>944</c:v>
                </c:pt>
                <c:pt idx="43">
                  <c:v>954</c:v>
                </c:pt>
                <c:pt idx="44">
                  <c:v>964</c:v>
                </c:pt>
                <c:pt idx="45">
                  <c:v>974</c:v>
                </c:pt>
                <c:pt idx="46">
                  <c:v>984</c:v>
                </c:pt>
                <c:pt idx="47">
                  <c:v>994</c:v>
                </c:pt>
                <c:pt idx="48">
                  <c:v>1000</c:v>
                </c:pt>
              </c:strCache>
            </c:strRef>
          </c:cat>
          <c:val>
            <c:numRef>
              <c:f>'Full Sweep Data &amp; Charts'!$E$5:$E$53</c:f>
              <c:numCache>
                <c:formatCode>0.00</c:formatCode>
                <c:ptCount val="49"/>
                <c:pt idx="0">
                  <c:v>1.19023584123305</c:v>
                </c:pt>
                <c:pt idx="1">
                  <c:v>1.14237608605453</c:v>
                </c:pt>
                <c:pt idx="2">
                  <c:v>1.17994233728367</c:v>
                </c:pt>
                <c:pt idx="3">
                  <c:v>1.18899050956391</c:v>
                </c:pt>
                <c:pt idx="4">
                  <c:v>1.18034813213605</c:v>
                </c:pt>
                <c:pt idx="5">
                  <c:v>1.11298386249011</c:v>
                </c:pt>
                <c:pt idx="6">
                  <c:v>1.13754479624206</c:v>
                </c:pt>
                <c:pt idx="7">
                  <c:v>1.18481313708428</c:v>
                </c:pt>
                <c:pt idx="8">
                  <c:v>1.1758543579204</c:v>
                </c:pt>
                <c:pt idx="9">
                  <c:v>1.16819059558087</c:v>
                </c:pt>
                <c:pt idx="10">
                  <c:v>1.11774758365474</c:v>
                </c:pt>
                <c:pt idx="11">
                  <c:v>1.13686462692089</c:v>
                </c:pt>
                <c:pt idx="12">
                  <c:v>1.16717819632803</c:v>
                </c:pt>
                <c:pt idx="13">
                  <c:v>1.17760991480536</c:v>
                </c:pt>
                <c:pt idx="14">
                  <c:v>1.13688284416781</c:v>
                </c:pt>
                <c:pt idx="15">
                  <c:v>1.18707942901092</c:v>
                </c:pt>
                <c:pt idx="16">
                  <c:v>1.13132321371836</c:v>
                </c:pt>
                <c:pt idx="17">
                  <c:v>1.15101912509519</c:v>
                </c:pt>
                <c:pt idx="18">
                  <c:v>1.20698005096387</c:v>
                </c:pt>
                <c:pt idx="19">
                  <c:v>1.18093621454493</c:v>
                </c:pt>
                <c:pt idx="20">
                  <c:v>1.14603160105049</c:v>
                </c:pt>
                <c:pt idx="21">
                  <c:v>1.14282726119663</c:v>
                </c:pt>
                <c:pt idx="22">
                  <c:v>1.15307188229861</c:v>
                </c:pt>
                <c:pt idx="23">
                  <c:v>1.15348344715773</c:v>
                </c:pt>
                <c:pt idx="24">
                  <c:v>1.13504057048808</c:v>
                </c:pt>
                <c:pt idx="25">
                  <c:v>1.15751742580055</c:v>
                </c:pt>
                <c:pt idx="26">
                  <c:v>1.14840537050847</c:v>
                </c:pt>
                <c:pt idx="27">
                  <c:v>1.13548557291668</c:v>
                </c:pt>
                <c:pt idx="28">
                  <c:v>1.1313757671863</c:v>
                </c:pt>
                <c:pt idx="29">
                  <c:v>1.13704812219019</c:v>
                </c:pt>
                <c:pt idx="30">
                  <c:v>1.18508974373803</c:v>
                </c:pt>
                <c:pt idx="31">
                  <c:v>1.15379532414923</c:v>
                </c:pt>
                <c:pt idx="32">
                  <c:v>1.13779551803144</c:v>
                </c:pt>
                <c:pt idx="33">
                  <c:v>1.15270212467485</c:v>
                </c:pt>
                <c:pt idx="34">
                  <c:v>1.11901864249392</c:v>
                </c:pt>
                <c:pt idx="35">
                  <c:v>1.16732983727907</c:v>
                </c:pt>
                <c:pt idx="36">
                  <c:v>1.12790037647392</c:v>
                </c:pt>
                <c:pt idx="37">
                  <c:v>1.18454805143872</c:v>
                </c:pt>
                <c:pt idx="38">
                  <c:v>1.12343293333058</c:v>
                </c:pt>
                <c:pt idx="39">
                  <c:v>1.13980987871202</c:v>
                </c:pt>
                <c:pt idx="40">
                  <c:v>1.1576599111912</c:v>
                </c:pt>
                <c:pt idx="41">
                  <c:v>1.15993222690822</c:v>
                </c:pt>
                <c:pt idx="42">
                  <c:v>1.16095997875466</c:v>
                </c:pt>
                <c:pt idx="43">
                  <c:v>1.16838458514029</c:v>
                </c:pt>
                <c:pt idx="44">
                  <c:v>1.17398735437265</c:v>
                </c:pt>
                <c:pt idx="45">
                  <c:v>1.18631134936281</c:v>
                </c:pt>
                <c:pt idx="46">
                  <c:v>1.16667133016363</c:v>
                </c:pt>
                <c:pt idx="47">
                  <c:v>1.17985329333737</c:v>
                </c:pt>
                <c:pt idx="48">
                  <c:v>1.19081949250418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6966"/>
        <c:axId val="59532253"/>
      </c:lineChart>
      <c:catAx>
        <c:axId val="2516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32253"/>
        <c:crosses val="autoZero"/>
        <c:auto val="1"/>
        <c:lblAlgn val="ctr"/>
        <c:lblOffset val="100"/>
        <c:noMultiLvlLbl val="0"/>
      </c:catAx>
      <c:valAx>
        <c:axId val="59532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bonus (percentage points)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6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P(NDA Majority) vs Total Seats, 534-1,000 -- RISES steadily, no reversal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'Full Sweep Data &amp; Charts'!H4</c:f>
              <c:strCache>
                <c:ptCount val="1"/>
                <c:pt idx="0">
                  <c:v>P(NDA Majority)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'Full Sweep Data &amp; Charts'!$A$5:$A$53</c:f>
              <c:strCache>
                <c:ptCount val="49"/>
                <c:pt idx="0">
                  <c:v>534</c:v>
                </c:pt>
                <c:pt idx="1">
                  <c:v>544</c:v>
                </c:pt>
                <c:pt idx="2">
                  <c:v>554</c:v>
                </c:pt>
                <c:pt idx="3">
                  <c:v>564</c:v>
                </c:pt>
                <c:pt idx="4">
                  <c:v>574</c:v>
                </c:pt>
                <c:pt idx="5">
                  <c:v>584</c:v>
                </c:pt>
                <c:pt idx="6">
                  <c:v>594</c:v>
                </c:pt>
                <c:pt idx="7">
                  <c:v>604</c:v>
                </c:pt>
                <c:pt idx="8">
                  <c:v>614</c:v>
                </c:pt>
                <c:pt idx="9">
                  <c:v>624</c:v>
                </c:pt>
                <c:pt idx="10">
                  <c:v>634</c:v>
                </c:pt>
                <c:pt idx="11">
                  <c:v>644</c:v>
                </c:pt>
                <c:pt idx="12">
                  <c:v>654</c:v>
                </c:pt>
                <c:pt idx="13">
                  <c:v>664</c:v>
                </c:pt>
                <c:pt idx="14">
                  <c:v>674</c:v>
                </c:pt>
                <c:pt idx="15">
                  <c:v>684</c:v>
                </c:pt>
                <c:pt idx="16">
                  <c:v>694</c:v>
                </c:pt>
                <c:pt idx="17">
                  <c:v>704</c:v>
                </c:pt>
                <c:pt idx="18">
                  <c:v>714</c:v>
                </c:pt>
                <c:pt idx="19">
                  <c:v>724</c:v>
                </c:pt>
                <c:pt idx="20">
                  <c:v>734</c:v>
                </c:pt>
                <c:pt idx="21">
                  <c:v>744</c:v>
                </c:pt>
                <c:pt idx="22">
                  <c:v>754</c:v>
                </c:pt>
                <c:pt idx="23">
                  <c:v>764</c:v>
                </c:pt>
                <c:pt idx="24">
                  <c:v>774</c:v>
                </c:pt>
                <c:pt idx="25">
                  <c:v>784</c:v>
                </c:pt>
                <c:pt idx="26">
                  <c:v>794</c:v>
                </c:pt>
                <c:pt idx="27">
                  <c:v>804</c:v>
                </c:pt>
                <c:pt idx="28">
                  <c:v>814</c:v>
                </c:pt>
                <c:pt idx="29">
                  <c:v>824</c:v>
                </c:pt>
                <c:pt idx="30">
                  <c:v>834</c:v>
                </c:pt>
                <c:pt idx="31">
                  <c:v>844</c:v>
                </c:pt>
                <c:pt idx="32">
                  <c:v>850</c:v>
                </c:pt>
                <c:pt idx="33">
                  <c:v>854</c:v>
                </c:pt>
                <c:pt idx="34">
                  <c:v>864</c:v>
                </c:pt>
                <c:pt idx="35">
                  <c:v>874</c:v>
                </c:pt>
                <c:pt idx="36">
                  <c:v>884</c:v>
                </c:pt>
                <c:pt idx="37">
                  <c:v>894</c:v>
                </c:pt>
                <c:pt idx="38">
                  <c:v>904</c:v>
                </c:pt>
                <c:pt idx="39">
                  <c:v>914</c:v>
                </c:pt>
                <c:pt idx="40">
                  <c:v>924</c:v>
                </c:pt>
                <c:pt idx="41">
                  <c:v>934</c:v>
                </c:pt>
                <c:pt idx="42">
                  <c:v>944</c:v>
                </c:pt>
                <c:pt idx="43">
                  <c:v>954</c:v>
                </c:pt>
                <c:pt idx="44">
                  <c:v>964</c:v>
                </c:pt>
                <c:pt idx="45">
                  <c:v>974</c:v>
                </c:pt>
                <c:pt idx="46">
                  <c:v>984</c:v>
                </c:pt>
                <c:pt idx="47">
                  <c:v>994</c:v>
                </c:pt>
                <c:pt idx="48">
                  <c:v>1000</c:v>
                </c:pt>
              </c:strCache>
            </c:strRef>
          </c:cat>
          <c:val>
            <c:numRef>
              <c:f>'Full Sweep Data &amp; Charts'!$H$5:$H$53</c:f>
              <c:numCache>
                <c:formatCode>0.0%</c:formatCode>
                <c:ptCount val="49"/>
                <c:pt idx="0">
                  <c:v>0.968666666666667</c:v>
                </c:pt>
                <c:pt idx="1">
                  <c:v>0.970666666666667</c:v>
                </c:pt>
                <c:pt idx="2">
                  <c:v>0.972</c:v>
                </c:pt>
                <c:pt idx="3">
                  <c:v>0.971333333333333</c:v>
                </c:pt>
                <c:pt idx="4">
                  <c:v>0.974666666666667</c:v>
                </c:pt>
                <c:pt idx="5">
                  <c:v>0.969333333333333</c:v>
                </c:pt>
                <c:pt idx="6">
                  <c:v>0.970666666666667</c:v>
                </c:pt>
                <c:pt idx="7">
                  <c:v>0.977333333333333</c:v>
                </c:pt>
                <c:pt idx="8">
                  <c:v>0.979333333333333</c:v>
                </c:pt>
                <c:pt idx="9">
                  <c:v>0.976</c:v>
                </c:pt>
                <c:pt idx="10">
                  <c:v>0.974</c:v>
                </c:pt>
                <c:pt idx="11">
                  <c:v>0.976</c:v>
                </c:pt>
                <c:pt idx="12">
                  <c:v>0.978666666666667</c:v>
                </c:pt>
                <c:pt idx="13">
                  <c:v>0.982666666666667</c:v>
                </c:pt>
                <c:pt idx="14">
                  <c:v>0.982666666666667</c:v>
                </c:pt>
                <c:pt idx="15">
                  <c:v>0.982666666666667</c:v>
                </c:pt>
                <c:pt idx="16">
                  <c:v>0.986666666666667</c:v>
                </c:pt>
                <c:pt idx="17">
                  <c:v>0.986</c:v>
                </c:pt>
                <c:pt idx="18">
                  <c:v>0.984</c:v>
                </c:pt>
                <c:pt idx="19">
                  <c:v>0.984666666666667</c:v>
                </c:pt>
                <c:pt idx="20">
                  <c:v>0.984</c:v>
                </c:pt>
                <c:pt idx="21">
                  <c:v>0.986666666666667</c:v>
                </c:pt>
                <c:pt idx="22">
                  <c:v>0.982666666666667</c:v>
                </c:pt>
                <c:pt idx="23">
                  <c:v>0.994</c:v>
                </c:pt>
                <c:pt idx="24">
                  <c:v>0.984666666666667</c:v>
                </c:pt>
                <c:pt idx="25">
                  <c:v>0.979333333333333</c:v>
                </c:pt>
                <c:pt idx="26">
                  <c:v>0.985333333333333</c:v>
                </c:pt>
                <c:pt idx="27">
                  <c:v>0.986666666666667</c:v>
                </c:pt>
                <c:pt idx="28">
                  <c:v>0.985333333333333</c:v>
                </c:pt>
                <c:pt idx="29">
                  <c:v>0.988666666666667</c:v>
                </c:pt>
                <c:pt idx="30">
                  <c:v>0.99</c:v>
                </c:pt>
                <c:pt idx="31">
                  <c:v>0.992</c:v>
                </c:pt>
                <c:pt idx="32">
                  <c:v>0.987333333333333</c:v>
                </c:pt>
                <c:pt idx="33">
                  <c:v>0.994666666666667</c:v>
                </c:pt>
                <c:pt idx="34">
                  <c:v>0.992666666666667</c:v>
                </c:pt>
                <c:pt idx="35">
                  <c:v>0.991333333333333</c:v>
                </c:pt>
                <c:pt idx="36">
                  <c:v>0.992666666666667</c:v>
                </c:pt>
                <c:pt idx="37">
                  <c:v>0.991333333333333</c:v>
                </c:pt>
                <c:pt idx="38">
                  <c:v>0.992</c:v>
                </c:pt>
                <c:pt idx="39">
                  <c:v>0.994666666666667</c:v>
                </c:pt>
                <c:pt idx="40">
                  <c:v>0.996666666666667</c:v>
                </c:pt>
                <c:pt idx="41">
                  <c:v>0.995333333333333</c:v>
                </c:pt>
                <c:pt idx="42">
                  <c:v>0.986</c:v>
                </c:pt>
                <c:pt idx="43">
                  <c:v>0.994</c:v>
                </c:pt>
                <c:pt idx="44">
                  <c:v>0.996666666666667</c:v>
                </c:pt>
                <c:pt idx="45">
                  <c:v>0.997333333333333</c:v>
                </c:pt>
                <c:pt idx="46">
                  <c:v>0.994</c:v>
                </c:pt>
                <c:pt idx="47">
                  <c:v>0.992666666666667</c:v>
                </c:pt>
                <c:pt idx="48">
                  <c:v>0.994666666666667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979079"/>
        <c:axId val="58966562"/>
      </c:lineChart>
      <c:catAx>
        <c:axId val="36979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seats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66562"/>
        <c:crosses val="autoZero"/>
        <c:auto val="1"/>
        <c:lblAlgn val="ctr"/>
        <c:lblOffset val="100"/>
        <c:noMultiLvlLbl val="0"/>
      </c:catAx>
      <c:valAx>
        <c:axId val="589665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P(NDA majority)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79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54</xdr:row>
      <xdr:rowOff>48240</xdr:rowOff>
    </xdr:from>
    <xdr:to>
      <xdr:col>6</xdr:col>
      <xdr:colOff>981360</xdr:colOff>
      <xdr:row>71</xdr:row>
      <xdr:rowOff>48960</xdr:rowOff>
    </xdr:to>
    <xdr:graphicFrame>
      <xdr:nvGraphicFramePr>
        <xdr:cNvPr id="0" name="Chart 1"/>
        <xdr:cNvGraphicFramePr/>
      </xdr:nvGraphicFramePr>
      <xdr:xfrm>
        <a:off x="0" y="10468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54</xdr:row>
      <xdr:rowOff>48240</xdr:rowOff>
    </xdr:from>
    <xdr:to>
      <xdr:col>20</xdr:col>
      <xdr:colOff>364320</xdr:colOff>
      <xdr:row>71</xdr:row>
      <xdr:rowOff>48960</xdr:rowOff>
    </xdr:to>
    <xdr:graphicFrame>
      <xdr:nvGraphicFramePr>
        <xdr:cNvPr id="1" name="Chart 2"/>
        <xdr:cNvGraphicFramePr/>
      </xdr:nvGraphicFramePr>
      <xdr:xfrm>
        <a:off x="8694360" y="10468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73</xdr:row>
      <xdr:rowOff>48240</xdr:rowOff>
    </xdr:from>
    <xdr:to>
      <xdr:col>6</xdr:col>
      <xdr:colOff>981360</xdr:colOff>
      <xdr:row>90</xdr:row>
      <xdr:rowOff>48960</xdr:rowOff>
    </xdr:to>
    <xdr:graphicFrame>
      <xdr:nvGraphicFramePr>
        <xdr:cNvPr id="2" name="Chart 3"/>
        <xdr:cNvGraphicFramePr/>
      </xdr:nvGraphicFramePr>
      <xdr:xfrm>
        <a:off x="0" y="14088240"/>
        <a:ext cx="647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3" t="s">
        <v>7</v>
      </c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3" t="s">
        <v>8</v>
      </c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3" t="s">
        <v>9</v>
      </c>
      <c r="B12" s="3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3" t="s">
        <v>10</v>
      </c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3" t="s">
        <v>11</v>
      </c>
      <c r="B14" s="3"/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A15" s="3" t="s">
        <v>12</v>
      </c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3" t="s">
        <v>13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 t="s">
        <v>14</v>
      </c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3" t="s">
        <v>15</v>
      </c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3" t="s">
        <v>16</v>
      </c>
      <c r="B19" s="3"/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A20" s="3" t="s">
        <v>17</v>
      </c>
      <c r="B20" s="3"/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A22" s="3" t="s">
        <v>18</v>
      </c>
      <c r="B22" s="3"/>
      <c r="C22" s="3"/>
      <c r="D22" s="3"/>
      <c r="E22" s="3"/>
      <c r="F22" s="3"/>
      <c r="G22" s="3"/>
      <c r="H22" s="3"/>
    </row>
    <row r="23" customFormat="false" ht="15" hidden="false" customHeight="true" outlineLevel="0" collapsed="false">
      <c r="A23" s="3" t="s">
        <v>19</v>
      </c>
      <c r="B23" s="3"/>
      <c r="C23" s="3"/>
      <c r="D23" s="3"/>
      <c r="E23" s="3"/>
      <c r="F23" s="3"/>
      <c r="G23" s="3"/>
      <c r="H23" s="3"/>
    </row>
    <row r="25" customFormat="false" ht="17.25" hidden="false" customHeight="true" outlineLevel="0" collapsed="false">
      <c r="A25" s="4" t="s">
        <v>20</v>
      </c>
      <c r="B25" s="4"/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A26" s="5" t="s">
        <v>21</v>
      </c>
      <c r="B26" s="5"/>
      <c r="C26" s="5"/>
      <c r="D26" s="5"/>
      <c r="E26" s="5"/>
      <c r="F26" s="5"/>
      <c r="G26" s="5"/>
      <c r="H26" s="5"/>
    </row>
    <row r="28" customFormat="false" ht="15" hidden="false" customHeight="true" outlineLevel="0" collapsed="false">
      <c r="A28" s="6" t="s">
        <v>22</v>
      </c>
      <c r="B28" s="6"/>
      <c r="C28" s="6" t="s">
        <v>23</v>
      </c>
      <c r="D28" s="6"/>
      <c r="E28" s="7" t="s">
        <v>24</v>
      </c>
      <c r="F28" s="7"/>
      <c r="G28" s="7" t="s">
        <v>25</v>
      </c>
      <c r="H28" s="7"/>
    </row>
    <row r="29" customFormat="false" ht="15" hidden="false" customHeight="true" outlineLevel="0" collapsed="false">
      <c r="A29" s="6"/>
      <c r="B29" s="6"/>
      <c r="C29" s="6"/>
      <c r="D29" s="6"/>
      <c r="E29" s="7"/>
      <c r="F29" s="7"/>
      <c r="G29" s="7"/>
      <c r="H29" s="7"/>
    </row>
    <row r="30" customFormat="false" ht="15" hidden="false" customHeight="true" outlineLevel="0" collapsed="false">
      <c r="A30" s="8" t="s">
        <v>26</v>
      </c>
      <c r="B30" s="8"/>
      <c r="C30" s="8" t="s">
        <v>27</v>
      </c>
      <c r="D30" s="8"/>
      <c r="E30" s="9" t="s">
        <v>28</v>
      </c>
      <c r="F30" s="9"/>
      <c r="G30" s="9" t="s">
        <v>29</v>
      </c>
      <c r="H30" s="9"/>
    </row>
    <row r="31" customFormat="false" ht="15" hidden="false" customHeight="true" outlineLevel="0" collapsed="false">
      <c r="A31" s="8"/>
      <c r="B31" s="8"/>
      <c r="C31" s="8"/>
      <c r="D31" s="8"/>
      <c r="E31" s="9"/>
      <c r="F31" s="9"/>
      <c r="G31" s="9"/>
      <c r="H31" s="9"/>
    </row>
    <row r="33" customFormat="false" ht="15" hidden="false" customHeight="true" outlineLevel="0" collapsed="false">
      <c r="A33" s="10" t="s">
        <v>30</v>
      </c>
    </row>
    <row r="34" customFormat="false" ht="15" hidden="false" customHeight="true" outlineLevel="0" collapsed="false">
      <c r="A34" s="11" t="s">
        <v>31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true" outlineLevel="0" collapsed="false">
      <c r="A35" s="11" t="s">
        <v>32</v>
      </c>
      <c r="B35" s="11"/>
      <c r="C35" s="11"/>
      <c r="D35" s="11"/>
      <c r="E35" s="11"/>
      <c r="F35" s="11"/>
      <c r="G35" s="11"/>
      <c r="H35" s="11"/>
    </row>
    <row r="36" customFormat="false" ht="15" hidden="false" customHeight="true" outlineLevel="0" collapsed="false">
      <c r="A36" s="11" t="s">
        <v>33</v>
      </c>
      <c r="B36" s="11"/>
      <c r="C36" s="11"/>
      <c r="D36" s="11"/>
      <c r="E36" s="11"/>
      <c r="F36" s="11"/>
      <c r="G36" s="11"/>
      <c r="H36" s="11"/>
    </row>
    <row r="37" customFormat="false" ht="15" hidden="false" customHeight="true" outlineLevel="0" collapsed="false">
      <c r="A37" s="11" t="s">
        <v>34</v>
      </c>
      <c r="B37" s="11"/>
      <c r="C37" s="11"/>
      <c r="D37" s="11"/>
      <c r="E37" s="11"/>
      <c r="F37" s="11"/>
      <c r="G37" s="11"/>
      <c r="H37" s="11"/>
    </row>
    <row r="38" customFormat="false" ht="15" hidden="false" customHeight="true" outlineLevel="0" collapsed="false">
      <c r="A38" s="11" t="s">
        <v>35</v>
      </c>
      <c r="B38" s="11"/>
      <c r="C38" s="11"/>
      <c r="D38" s="11"/>
      <c r="E38" s="11"/>
      <c r="F38" s="11"/>
      <c r="G38" s="11"/>
      <c r="H38" s="11"/>
    </row>
    <row r="39" customFormat="false" ht="15" hidden="false" customHeight="true" outlineLevel="0" collapsed="false">
      <c r="A39" s="11" t="s">
        <v>36</v>
      </c>
      <c r="B39" s="11"/>
      <c r="C39" s="11"/>
      <c r="D39" s="11"/>
      <c r="E39" s="11"/>
      <c r="F39" s="11"/>
      <c r="G39" s="11"/>
      <c r="H39" s="11"/>
    </row>
    <row r="41" customFormat="false" ht="15" hidden="false" customHeight="true" outlineLevel="0" collapsed="false">
      <c r="A41" s="10" t="s">
        <v>37</v>
      </c>
    </row>
    <row r="42" customFormat="false" ht="15" hidden="false" customHeight="true" outlineLevel="0" collapsed="false">
      <c r="A42" s="11" t="s">
        <v>38</v>
      </c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1" t="s">
        <v>39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1" t="s">
        <v>40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true" outlineLevel="0" collapsed="false">
      <c r="A45" s="11" t="s">
        <v>41</v>
      </c>
      <c r="B45" s="11"/>
      <c r="C45" s="11"/>
      <c r="D45" s="11"/>
      <c r="E45" s="11"/>
      <c r="F45" s="11"/>
      <c r="G45" s="11"/>
      <c r="H45" s="11"/>
    </row>
    <row r="46" customFormat="false" ht="15" hidden="false" customHeight="true" outlineLevel="0" collapsed="false">
      <c r="A46" s="11" t="s">
        <v>42</v>
      </c>
      <c r="B46" s="11"/>
      <c r="C46" s="11"/>
      <c r="D46" s="11"/>
      <c r="E46" s="11"/>
      <c r="F46" s="11"/>
      <c r="G46" s="11"/>
      <c r="H46" s="11"/>
    </row>
    <row r="47" customFormat="false" ht="15" hidden="false" customHeight="true" outlineLevel="0" collapsed="false">
      <c r="A47" s="11" t="s">
        <v>43</v>
      </c>
      <c r="B47" s="11"/>
      <c r="C47" s="11"/>
      <c r="D47" s="11"/>
      <c r="E47" s="11"/>
      <c r="F47" s="11"/>
      <c r="G47" s="11"/>
      <c r="H47" s="11"/>
    </row>
    <row r="48" customFormat="false" ht="15" hidden="false" customHeight="true" outlineLevel="0" collapsed="false">
      <c r="A48" s="11" t="s">
        <v>44</v>
      </c>
      <c r="B48" s="11"/>
      <c r="C48" s="11"/>
      <c r="D48" s="11"/>
      <c r="E48" s="11"/>
      <c r="F48" s="11"/>
      <c r="G48" s="11"/>
      <c r="H48" s="11"/>
    </row>
    <row r="49" customFormat="false" ht="15" hidden="false" customHeight="true" outlineLevel="0" collapsed="false">
      <c r="A49" s="11" t="s">
        <v>45</v>
      </c>
      <c r="B49" s="11"/>
      <c r="C49" s="11"/>
      <c r="D49" s="11"/>
      <c r="E49" s="11"/>
      <c r="F49" s="11"/>
      <c r="G49" s="11"/>
      <c r="H49" s="11"/>
    </row>
    <row r="50" customFormat="false" ht="15" hidden="false" customHeight="true" outlineLevel="0" collapsed="false">
      <c r="A50" s="11" t="s">
        <v>46</v>
      </c>
      <c r="B50" s="11"/>
      <c r="C50" s="11"/>
      <c r="D50" s="11"/>
      <c r="E50" s="11"/>
      <c r="F50" s="11"/>
      <c r="G50" s="11"/>
      <c r="H50" s="11"/>
    </row>
    <row r="52" customFormat="false" ht="15" hidden="false" customHeight="true" outlineLevel="0" collapsed="false">
      <c r="A52" s="12" t="s">
        <v>47</v>
      </c>
    </row>
    <row r="53" customFormat="false" ht="15" hidden="false" customHeight="true" outlineLevel="0" collapsed="false">
      <c r="A53" s="13" t="s">
        <v>48</v>
      </c>
      <c r="B53" s="13"/>
      <c r="C53" s="13"/>
      <c r="D53" s="13"/>
      <c r="E53" s="13"/>
      <c r="F53" s="13"/>
      <c r="G53" s="13"/>
      <c r="H53" s="13"/>
    </row>
    <row r="54" customFormat="false" ht="15" hidden="false" customHeight="true" outlineLevel="0" collapsed="false">
      <c r="A54" s="13" t="s">
        <v>49</v>
      </c>
      <c r="B54" s="13"/>
      <c r="C54" s="13"/>
      <c r="D54" s="13"/>
      <c r="E54" s="13"/>
      <c r="F54" s="13"/>
      <c r="G54" s="13"/>
      <c r="H54" s="13"/>
    </row>
    <row r="55" customFormat="false" ht="15" hidden="false" customHeight="true" outlineLevel="0" collapsed="false">
      <c r="A55" s="13" t="s">
        <v>50</v>
      </c>
      <c r="B55" s="13"/>
      <c r="C55" s="13"/>
      <c r="D55" s="13"/>
      <c r="E55" s="13"/>
      <c r="F55" s="13"/>
      <c r="G55" s="13"/>
      <c r="H55" s="13"/>
    </row>
    <row r="56" customFormat="false" ht="15" hidden="false" customHeight="true" outlineLevel="0" collapsed="false">
      <c r="A56" s="13" t="s">
        <v>51</v>
      </c>
      <c r="B56" s="13"/>
      <c r="C56" s="13"/>
      <c r="D56" s="13"/>
      <c r="E56" s="13"/>
      <c r="F56" s="13"/>
      <c r="G56" s="13"/>
      <c r="H56" s="13"/>
    </row>
    <row r="57" customFormat="false" ht="15" hidden="false" customHeight="true" outlineLevel="0" collapsed="false">
      <c r="A57" s="13" t="s">
        <v>52</v>
      </c>
      <c r="B57" s="13"/>
      <c r="C57" s="13"/>
      <c r="D57" s="13"/>
      <c r="E57" s="13"/>
      <c r="F57" s="13"/>
      <c r="G57" s="13"/>
      <c r="H57" s="13"/>
    </row>
    <row r="58" customFormat="false" ht="15" hidden="false" customHeight="true" outlineLevel="0" collapsed="false">
      <c r="A58" s="13" t="s">
        <v>53</v>
      </c>
      <c r="B58" s="13"/>
      <c r="C58" s="13"/>
      <c r="D58" s="13"/>
      <c r="E58" s="13"/>
      <c r="F58" s="13"/>
      <c r="G58" s="13"/>
      <c r="H58" s="13"/>
    </row>
    <row r="59" customFormat="false" ht="15" hidden="false" customHeight="true" outlineLevel="0" collapsed="false">
      <c r="A59" s="13" t="s">
        <v>54</v>
      </c>
      <c r="B59" s="13"/>
      <c r="C59" s="13"/>
      <c r="D59" s="13"/>
      <c r="E59" s="13"/>
      <c r="F59" s="13"/>
      <c r="G59" s="13"/>
      <c r="H59" s="13"/>
    </row>
    <row r="60" customFormat="false" ht="15" hidden="false" customHeight="true" outlineLevel="0" collapsed="false">
      <c r="A60" s="13" t="s">
        <v>55</v>
      </c>
      <c r="B60" s="13"/>
      <c r="C60" s="13"/>
      <c r="D60" s="13"/>
      <c r="E60" s="13"/>
      <c r="F60" s="13"/>
      <c r="G60" s="13"/>
      <c r="H60" s="13"/>
    </row>
  </sheetData>
  <mergeCells count="5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5:H25"/>
    <mergeCell ref="A26:H26"/>
    <mergeCell ref="A28:B29"/>
    <mergeCell ref="C28:D29"/>
    <mergeCell ref="E28:F29"/>
    <mergeCell ref="G28:H29"/>
    <mergeCell ref="A30:B31"/>
    <mergeCell ref="C30:D31"/>
    <mergeCell ref="E30:F31"/>
    <mergeCell ref="G30:H31"/>
    <mergeCell ref="A34:H34"/>
    <mergeCell ref="A35:H35"/>
    <mergeCell ref="A36:H36"/>
    <mergeCell ref="A37:H37"/>
    <mergeCell ref="A38:H38"/>
    <mergeCell ref="A39:H39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3:H53"/>
    <mergeCell ref="A54:H54"/>
    <mergeCell ref="A55:H55"/>
    <mergeCell ref="A56:H56"/>
    <mergeCell ref="A57:H57"/>
    <mergeCell ref="A58:H58"/>
    <mergeCell ref="A59:H59"/>
    <mergeCell ref="A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14" t="s">
        <v>56</v>
      </c>
    </row>
    <row r="3" customFormat="false" ht="15" hidden="false" customHeight="true" outlineLevel="0" collapsed="false">
      <c r="A3" s="15" t="s">
        <v>57</v>
      </c>
    </row>
    <row r="4" customFormat="false" ht="15" hidden="false" customHeight="true" outlineLevel="0" collapsed="false">
      <c r="A4" s="16" t="s">
        <v>58</v>
      </c>
    </row>
    <row r="5" customFormat="false" ht="15" hidden="false" customHeight="true" outlineLevel="0" collapsed="false">
      <c r="A5" s="16" t="s">
        <v>59</v>
      </c>
    </row>
    <row r="6" customFormat="false" ht="15" hidden="false" customHeight="true" outlineLevel="0" collapsed="false">
      <c r="A6" s="16" t="s">
        <v>60</v>
      </c>
    </row>
    <row r="7" customFormat="false" ht="15" hidden="false" customHeight="true" outlineLevel="0" collapsed="false">
      <c r="A7" s="16" t="s">
        <v>61</v>
      </c>
    </row>
    <row r="8" customFormat="false" ht="15" hidden="false" customHeight="true" outlineLevel="0" collapsed="false">
      <c r="A8" s="16" t="s">
        <v>62</v>
      </c>
    </row>
    <row r="9" customFormat="false" ht="15" hidden="false" customHeight="true" outlineLevel="0" collapsed="false">
      <c r="A9" s="16"/>
    </row>
    <row r="10" customFormat="false" ht="15" hidden="false" customHeight="true" outlineLevel="0" collapsed="false">
      <c r="A10" s="17" t="s">
        <v>63</v>
      </c>
    </row>
    <row r="11" customFormat="false" ht="15" hidden="false" customHeight="true" outlineLevel="0" collapsed="false">
      <c r="A11" s="16" t="s">
        <v>64</v>
      </c>
    </row>
    <row r="12" customFormat="false" ht="15" hidden="false" customHeight="true" outlineLevel="0" collapsed="false">
      <c r="A12" s="16" t="s">
        <v>65</v>
      </c>
    </row>
    <row r="13" customFormat="false" ht="15" hidden="false" customHeight="true" outlineLevel="0" collapsed="false">
      <c r="A13" s="16" t="s">
        <v>66</v>
      </c>
    </row>
    <row r="14" customFormat="false" ht="15" hidden="false" customHeight="true" outlineLevel="0" collapsed="false">
      <c r="A14" s="16" t="s">
        <v>67</v>
      </c>
    </row>
    <row r="15" customFormat="false" ht="15" hidden="false" customHeight="true" outlineLevel="0" collapsed="false">
      <c r="A15" s="16" t="s">
        <v>68</v>
      </c>
    </row>
    <row r="16" customFormat="false" ht="15" hidden="false" customHeight="true" outlineLevel="0" collapsed="false">
      <c r="A16" s="16" t="s">
        <v>69</v>
      </c>
    </row>
    <row r="17" customFormat="false" ht="15" hidden="false" customHeight="true" outlineLevel="0" collapsed="false">
      <c r="A17" s="16" t="s">
        <v>70</v>
      </c>
    </row>
    <row r="18" customFormat="false" ht="15" hidden="false" customHeight="true" outlineLevel="0" collapsed="false">
      <c r="A18" s="16" t="s">
        <v>71</v>
      </c>
    </row>
    <row r="19" customFormat="false" ht="15" hidden="false" customHeight="true" outlineLevel="0" collapsed="false">
      <c r="A19" s="16" t="s">
        <v>72</v>
      </c>
    </row>
    <row r="20" customFormat="false" ht="15" hidden="false" customHeight="true" outlineLevel="0" collapsed="false">
      <c r="A20" s="16" t="s">
        <v>73</v>
      </c>
    </row>
    <row r="21" customFormat="false" ht="15" hidden="false" customHeight="true" outlineLevel="0" collapsed="false">
      <c r="A21" s="16" t="s">
        <v>74</v>
      </c>
    </row>
    <row r="22" customFormat="false" ht="15" hidden="false" customHeight="true" outlineLevel="0" collapsed="false">
      <c r="A22" s="16" t="s">
        <v>75</v>
      </c>
    </row>
    <row r="23" customFormat="false" ht="15" hidden="false" customHeight="true" outlineLevel="0" collapsed="false">
      <c r="A23" s="16"/>
    </row>
    <row r="24" customFormat="false" ht="15" hidden="false" customHeight="true" outlineLevel="0" collapsed="false">
      <c r="A24" s="15" t="s">
        <v>76</v>
      </c>
    </row>
    <row r="25" customFormat="false" ht="15" hidden="false" customHeight="true" outlineLevel="0" collapsed="false">
      <c r="A25" s="16" t="s">
        <v>77</v>
      </c>
    </row>
    <row r="26" customFormat="false" ht="15" hidden="false" customHeight="true" outlineLevel="0" collapsed="false">
      <c r="A26" s="16" t="s">
        <v>78</v>
      </c>
    </row>
    <row r="27" customFormat="false" ht="15" hidden="false" customHeight="true" outlineLevel="0" collapsed="false">
      <c r="A27" s="16" t="s">
        <v>79</v>
      </c>
    </row>
    <row r="28" customFormat="false" ht="15" hidden="false" customHeight="true" outlineLevel="0" collapsed="false">
      <c r="A28" s="16" t="s">
        <v>80</v>
      </c>
    </row>
    <row r="29" customFormat="false" ht="15" hidden="false" customHeight="true" outlineLevel="0" collapsed="false">
      <c r="A29" s="16" t="s">
        <v>81</v>
      </c>
    </row>
    <row r="30" customFormat="false" ht="15" hidden="false" customHeight="true" outlineLevel="0" collapsed="false">
      <c r="A30" s="16" t="s">
        <v>82</v>
      </c>
    </row>
    <row r="31" customFormat="false" ht="15" hidden="false" customHeight="true" outlineLevel="0" collapsed="false">
      <c r="A31" s="16" t="s">
        <v>83</v>
      </c>
    </row>
    <row r="32" customFormat="false" ht="15" hidden="false" customHeight="true" outlineLevel="0" collapsed="false">
      <c r="A32" s="16" t="s">
        <v>84</v>
      </c>
    </row>
    <row r="33" customFormat="false" ht="15" hidden="false" customHeight="true" outlineLevel="0" collapsed="false">
      <c r="A33" s="16"/>
    </row>
    <row r="34" customFormat="false" ht="15" hidden="false" customHeight="true" outlineLevel="0" collapsed="false">
      <c r="A34" s="15" t="s">
        <v>85</v>
      </c>
    </row>
    <row r="35" customFormat="false" ht="15" hidden="false" customHeight="true" outlineLevel="0" collapsed="false">
      <c r="A35" s="16" t="s">
        <v>86</v>
      </c>
    </row>
    <row r="36" customFormat="false" ht="15" hidden="false" customHeight="true" outlineLevel="0" collapsed="false">
      <c r="A36" s="16" t="s">
        <v>87</v>
      </c>
    </row>
    <row r="37" customFormat="false" ht="15" hidden="false" customHeight="true" outlineLevel="0" collapsed="false">
      <c r="A37" s="16" t="s">
        <v>88</v>
      </c>
    </row>
    <row r="38" customFormat="false" ht="15" hidden="false" customHeight="true" outlineLevel="0" collapsed="false">
      <c r="A38" s="16" t="s">
        <v>89</v>
      </c>
    </row>
    <row r="39" customFormat="false" ht="15" hidden="false" customHeight="true" outlineLevel="0" collapsed="false">
      <c r="A39" s="16" t="s">
        <v>90</v>
      </c>
    </row>
    <row r="40" customFormat="false" ht="15" hidden="false" customHeight="true" outlineLevel="0" collapsed="false">
      <c r="A40" s="16" t="s">
        <v>91</v>
      </c>
    </row>
    <row r="41" customFormat="false" ht="15" hidden="false" customHeight="true" outlineLevel="0" collapsed="false">
      <c r="A41" s="16"/>
    </row>
    <row r="42" customFormat="false" ht="15" hidden="false" customHeight="true" outlineLevel="0" collapsed="false">
      <c r="A42" s="15" t="s">
        <v>92</v>
      </c>
    </row>
    <row r="43" customFormat="false" ht="15" hidden="false" customHeight="true" outlineLevel="0" collapsed="false">
      <c r="A43" s="16" t="s">
        <v>93</v>
      </c>
    </row>
    <row r="44" customFormat="false" ht="15" hidden="false" customHeight="true" outlineLevel="0" collapsed="false">
      <c r="A44" s="16" t="s">
        <v>94</v>
      </c>
    </row>
    <row r="45" customFormat="false" ht="15" hidden="false" customHeight="true" outlineLevel="0" collapsed="false">
      <c r="A45" s="16" t="s">
        <v>95</v>
      </c>
    </row>
    <row r="46" customFormat="false" ht="15" hidden="false" customHeight="true" outlineLevel="0" collapsed="false">
      <c r="A46" s="16" t="s">
        <v>96</v>
      </c>
    </row>
    <row r="47" customFormat="false" ht="15" hidden="false" customHeight="true" outlineLevel="0" collapsed="false">
      <c r="A47" s="16" t="s">
        <v>97</v>
      </c>
    </row>
    <row r="48" customFormat="false" ht="15" hidden="false" customHeight="true" outlineLevel="0" collapsed="false">
      <c r="A48" s="16" t="s">
        <v>98</v>
      </c>
    </row>
    <row r="49" customFormat="false" ht="15" hidden="false" customHeight="true" outlineLevel="0" collapsed="false">
      <c r="A49" s="16" t="s">
        <v>99</v>
      </c>
    </row>
    <row r="50" customFormat="false" ht="15" hidden="false" customHeight="true" outlineLevel="0" collapsed="false">
      <c r="A50" s="16" t="s">
        <v>100</v>
      </c>
    </row>
    <row r="52" customFormat="false" ht="15" hidden="false" customHeight="true" outlineLevel="0" collapsed="false">
      <c r="A52" s="17" t="s">
        <v>101</v>
      </c>
    </row>
    <row r="53" customFormat="false" ht="15" hidden="false" customHeight="true" outlineLevel="0" collapsed="false">
      <c r="A53" s="16" t="s">
        <v>102</v>
      </c>
    </row>
    <row r="54" customFormat="false" ht="15" hidden="false" customHeight="true" outlineLevel="0" collapsed="false">
      <c r="A54" s="16" t="s">
        <v>103</v>
      </c>
    </row>
    <row r="55" customFormat="false" ht="15" hidden="false" customHeight="true" outlineLevel="0" collapsed="false">
      <c r="A55" s="16" t="s">
        <v>104</v>
      </c>
    </row>
    <row r="56" customFormat="false" ht="15" hidden="false" customHeight="true" outlineLevel="0" collapsed="false">
      <c r="A56" s="16" t="s">
        <v>105</v>
      </c>
    </row>
    <row r="57" customFormat="false" ht="15" hidden="false" customHeight="true" outlineLevel="0" collapsed="false">
      <c r="A57" s="16" t="s">
        <v>106</v>
      </c>
    </row>
    <row r="58" customFormat="false" ht="15" hidden="false" customHeight="true" outlineLevel="0" collapsed="false">
      <c r="A58" s="16" t="s">
        <v>107</v>
      </c>
    </row>
    <row r="59" customFormat="false" ht="15" hidden="false" customHeight="true" outlineLevel="0" collapsed="false">
      <c r="A59" s="16" t="s">
        <v>108</v>
      </c>
    </row>
    <row r="60" customFormat="false" ht="15" hidden="false" customHeight="true" outlineLevel="0" collapsed="false">
      <c r="A60" s="16" t="s">
        <v>109</v>
      </c>
    </row>
    <row r="61" customFormat="false" ht="15" hidden="false" customHeight="true" outlineLevel="0" collapsed="false">
      <c r="A61" s="16" t="s">
        <v>110</v>
      </c>
    </row>
    <row r="63" customFormat="false" ht="15" hidden="false" customHeight="true" outlineLevel="0" collapsed="false">
      <c r="A63" s="17" t="s">
        <v>111</v>
      </c>
    </row>
    <row r="64" customFormat="false" ht="15" hidden="false" customHeight="true" outlineLevel="0" collapsed="false">
      <c r="A64" s="16" t="s">
        <v>112</v>
      </c>
    </row>
    <row r="65" customFormat="false" ht="15" hidden="false" customHeight="true" outlineLevel="0" collapsed="false">
      <c r="A65" s="16" t="s">
        <v>113</v>
      </c>
    </row>
    <row r="66" customFormat="false" ht="15" hidden="false" customHeight="true" outlineLevel="0" collapsed="false">
      <c r="A66" s="16" t="s">
        <v>114</v>
      </c>
    </row>
    <row r="67" customFormat="false" ht="15" hidden="false" customHeight="true" outlineLevel="0" collapsed="false">
      <c r="A67" s="16" t="s">
        <v>115</v>
      </c>
    </row>
    <row r="68" customFormat="false" ht="15" hidden="false" customHeight="true" outlineLevel="0" collapsed="false">
      <c r="A68" s="16" t="s">
        <v>116</v>
      </c>
    </row>
    <row r="69" customFormat="false" ht="15" hidden="false" customHeight="true" outlineLevel="0" collapsed="false">
      <c r="A69" s="16" t="s">
        <v>117</v>
      </c>
    </row>
    <row r="70" customFormat="false" ht="15" hidden="false" customHeight="true" outlineLevel="0" collapsed="false">
      <c r="A70" s="16" t="s">
        <v>118</v>
      </c>
    </row>
    <row r="71" customFormat="false" ht="15" hidden="false" customHeight="true" outlineLevel="0" collapsed="false">
      <c r="A71" s="16" t="s">
        <v>119</v>
      </c>
    </row>
    <row r="72" customFormat="false" ht="15" hidden="false" customHeight="true" outlineLevel="0" collapsed="false">
      <c r="A72" s="1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5" min="3" style="1" width="14"/>
    <col collapsed="false" customWidth="true" hidden="false" outlineLevel="0" max="6" min="6" style="1" width="16"/>
    <col collapsed="false" customWidth="true" hidden="false" outlineLevel="0" max="8" min="7" style="1" width="14"/>
  </cols>
  <sheetData>
    <row r="1" customFormat="false" ht="17.25" hidden="false" customHeight="true" outlineLevel="0" collapsed="false">
      <c r="A1" s="4" t="s">
        <v>121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true" outlineLevel="0" collapsed="false">
      <c r="A2" s="5" t="s">
        <v>122</v>
      </c>
      <c r="B2" s="5"/>
      <c r="C2" s="5"/>
      <c r="D2" s="5"/>
      <c r="E2" s="5"/>
      <c r="F2" s="5"/>
      <c r="G2" s="5"/>
      <c r="H2" s="5"/>
      <c r="I2" s="5"/>
    </row>
    <row r="4" customFormat="false" ht="23.25" hidden="false" customHeight="true" outlineLevel="0" collapsed="false">
      <c r="A4" s="18" t="s">
        <v>123</v>
      </c>
      <c r="B4" s="18" t="s">
        <v>124</v>
      </c>
      <c r="C4" s="18" t="s">
        <v>125</v>
      </c>
      <c r="D4" s="18" t="s">
        <v>126</v>
      </c>
      <c r="E4" s="18" t="s">
        <v>127</v>
      </c>
      <c r="F4" s="18" t="s">
        <v>128</v>
      </c>
      <c r="G4" s="18" t="s">
        <v>129</v>
      </c>
      <c r="H4" s="18" t="s">
        <v>130</v>
      </c>
    </row>
    <row r="5" customFormat="false" ht="15" hidden="false" customHeight="true" outlineLevel="0" collapsed="false">
      <c r="A5" s="19" t="n">
        <v>534</v>
      </c>
      <c r="B5" s="19" t="n">
        <v>268</v>
      </c>
      <c r="C5" s="20" t="n">
        <v>0.541408239700382</v>
      </c>
      <c r="D5" s="20" t="n">
        <v>0.529505881288051</v>
      </c>
      <c r="E5" s="21" t="n">
        <v>1.19023584123305</v>
      </c>
      <c r="F5" s="22" t="n">
        <v>1.26054027900826</v>
      </c>
      <c r="G5" s="21" t="n">
        <v>2.8445894839475</v>
      </c>
      <c r="H5" s="23" t="n">
        <v>0.968666666666667</v>
      </c>
    </row>
    <row r="6" customFormat="false" ht="15" hidden="false" customHeight="true" outlineLevel="0" collapsed="false">
      <c r="A6" s="19" t="n">
        <v>544</v>
      </c>
      <c r="B6" s="19" t="n">
        <v>273</v>
      </c>
      <c r="C6" s="20" t="n">
        <v>0.540372549019608</v>
      </c>
      <c r="D6" s="20" t="n">
        <v>0.528948788159063</v>
      </c>
      <c r="E6" s="21" t="n">
        <v>1.14237608605453</v>
      </c>
      <c r="F6" s="22" t="n">
        <v>1.26814587531391</v>
      </c>
      <c r="G6" s="21" t="n">
        <v>2.8417792876795</v>
      </c>
      <c r="H6" s="23" t="n">
        <v>0.970666666666667</v>
      </c>
    </row>
    <row r="7" customFormat="false" ht="15" hidden="false" customHeight="true" outlineLevel="0" collapsed="false">
      <c r="A7" s="19" t="n">
        <v>554</v>
      </c>
      <c r="B7" s="19" t="n">
        <v>278</v>
      </c>
      <c r="C7" s="20" t="n">
        <v>0.540760529482549</v>
      </c>
      <c r="D7" s="20" t="n">
        <v>0.528961106109713</v>
      </c>
      <c r="E7" s="21" t="n">
        <v>1.17994233728367</v>
      </c>
      <c r="F7" s="22" t="n">
        <v>1.23392428018707</v>
      </c>
      <c r="G7" s="21" t="n">
        <v>2.84736282578633</v>
      </c>
      <c r="H7" s="23" t="n">
        <v>0.972</v>
      </c>
    </row>
    <row r="8" customFormat="false" ht="15" hidden="false" customHeight="true" outlineLevel="0" collapsed="false">
      <c r="A8" s="19" t="n">
        <v>564</v>
      </c>
      <c r="B8" s="19" t="n">
        <v>283</v>
      </c>
      <c r="C8" s="20" t="n">
        <v>0.540972813238772</v>
      </c>
      <c r="D8" s="20" t="n">
        <v>0.529082908143133</v>
      </c>
      <c r="E8" s="21" t="n">
        <v>1.18899050956391</v>
      </c>
      <c r="F8" s="22" t="n">
        <v>1.17594189668727</v>
      </c>
      <c r="G8" s="21" t="n">
        <v>2.85535451101232</v>
      </c>
      <c r="H8" s="23" t="n">
        <v>0.971333333333333</v>
      </c>
    </row>
    <row r="9" customFormat="false" ht="15" hidden="false" customHeight="true" outlineLevel="0" collapsed="false">
      <c r="A9" s="19" t="n">
        <v>574</v>
      </c>
      <c r="B9" s="19" t="n">
        <v>288</v>
      </c>
      <c r="C9" s="20" t="n">
        <v>0.541530778164925</v>
      </c>
      <c r="D9" s="20" t="n">
        <v>0.529727296843564</v>
      </c>
      <c r="E9" s="21" t="n">
        <v>1.18034813213605</v>
      </c>
      <c r="F9" s="22" t="n">
        <v>1.17611696879726</v>
      </c>
      <c r="G9" s="21" t="n">
        <v>2.85237143631492</v>
      </c>
      <c r="H9" s="23" t="n">
        <v>0.974666666666667</v>
      </c>
    </row>
    <row r="10" customFormat="false" ht="15" hidden="false" customHeight="true" outlineLevel="0" collapsed="false">
      <c r="A10" s="19" t="n">
        <v>584</v>
      </c>
      <c r="B10" s="19" t="n">
        <v>293</v>
      </c>
      <c r="C10" s="20" t="n">
        <v>0.539554794520549</v>
      </c>
      <c r="D10" s="20" t="n">
        <v>0.528424955895648</v>
      </c>
      <c r="E10" s="21" t="n">
        <v>1.11298386249011</v>
      </c>
      <c r="F10" s="22" t="n">
        <v>1.17408421671497</v>
      </c>
      <c r="G10" s="21" t="n">
        <v>2.84453449617482</v>
      </c>
      <c r="H10" s="23" t="n">
        <v>0.969333333333333</v>
      </c>
    </row>
    <row r="11" customFormat="false" ht="15" hidden="false" customHeight="true" outlineLevel="0" collapsed="false">
      <c r="A11" s="19" t="n">
        <v>594</v>
      </c>
      <c r="B11" s="19" t="n">
        <v>298</v>
      </c>
      <c r="C11" s="20" t="n">
        <v>0.540181818181813</v>
      </c>
      <c r="D11" s="20" t="n">
        <v>0.528806370219393</v>
      </c>
      <c r="E11" s="21" t="n">
        <v>1.13754479624206</v>
      </c>
      <c r="F11" s="22" t="n">
        <v>1.16401267091467</v>
      </c>
      <c r="G11" s="21" t="n">
        <v>2.84612516689782</v>
      </c>
      <c r="H11" s="23" t="n">
        <v>0.970666666666667</v>
      </c>
    </row>
    <row r="12" customFormat="false" ht="15" hidden="false" customHeight="true" outlineLevel="0" collapsed="false">
      <c r="A12" s="19" t="n">
        <v>604</v>
      </c>
      <c r="B12" s="19" t="n">
        <v>303</v>
      </c>
      <c r="C12" s="20" t="n">
        <v>0.541091611479031</v>
      </c>
      <c r="D12" s="20" t="n">
        <v>0.529243480108188</v>
      </c>
      <c r="E12" s="21" t="n">
        <v>1.18481313708428</v>
      </c>
      <c r="F12" s="22" t="n">
        <v>1.11956692217534</v>
      </c>
      <c r="G12" s="21" t="n">
        <v>2.8405948022842</v>
      </c>
      <c r="H12" s="23" t="n">
        <v>0.977333333333333</v>
      </c>
    </row>
    <row r="13" customFormat="false" ht="15" hidden="false" customHeight="true" outlineLevel="0" collapsed="false">
      <c r="A13" s="19" t="n">
        <v>614</v>
      </c>
      <c r="B13" s="19" t="n">
        <v>308</v>
      </c>
      <c r="C13" s="20" t="n">
        <v>0.541149837133561</v>
      </c>
      <c r="D13" s="20" t="n">
        <v>0.529391293554357</v>
      </c>
      <c r="E13" s="21" t="n">
        <v>1.1758543579204</v>
      </c>
      <c r="F13" s="22" t="n">
        <v>1.12999359741394</v>
      </c>
      <c r="G13" s="21" t="n">
        <v>2.85461755561524</v>
      </c>
      <c r="H13" s="23" t="n">
        <v>0.979333333333333</v>
      </c>
    </row>
    <row r="14" customFormat="false" ht="15" hidden="false" customHeight="true" outlineLevel="0" collapsed="false">
      <c r="A14" s="19" t="n">
        <v>624</v>
      </c>
      <c r="B14" s="19" t="n">
        <v>313</v>
      </c>
      <c r="C14" s="20" t="n">
        <v>0.540873931623932</v>
      </c>
      <c r="D14" s="20" t="n">
        <v>0.529192025668123</v>
      </c>
      <c r="E14" s="21" t="n">
        <v>1.16819059558087</v>
      </c>
      <c r="F14" s="22" t="n">
        <v>1.11310714377387</v>
      </c>
      <c r="G14" s="21" t="n">
        <v>2.83405117626857</v>
      </c>
      <c r="H14" s="23" t="n">
        <v>0.976</v>
      </c>
    </row>
    <row r="15" customFormat="false" ht="15" hidden="false" customHeight="true" outlineLevel="0" collapsed="false">
      <c r="A15" s="19" t="n">
        <v>634</v>
      </c>
      <c r="B15" s="19" t="n">
        <v>318</v>
      </c>
      <c r="C15" s="20" t="n">
        <v>0.539909568874868</v>
      </c>
      <c r="D15" s="20" t="n">
        <v>0.528732093038321</v>
      </c>
      <c r="E15" s="21" t="n">
        <v>1.11774758365474</v>
      </c>
      <c r="F15" s="22" t="n">
        <v>1.10651334141389</v>
      </c>
      <c r="G15" s="21" t="n">
        <v>2.8214685732729</v>
      </c>
      <c r="H15" s="23" t="n">
        <v>0.974</v>
      </c>
    </row>
    <row r="16" customFormat="false" ht="15" hidden="false" customHeight="true" outlineLevel="0" collapsed="false">
      <c r="A16" s="19" t="n">
        <v>644</v>
      </c>
      <c r="B16" s="19" t="n">
        <v>323</v>
      </c>
      <c r="C16" s="20" t="n">
        <v>0.540416149068324</v>
      </c>
      <c r="D16" s="20" t="n">
        <v>0.529047502799115</v>
      </c>
      <c r="E16" s="21" t="n">
        <v>1.13686462692089</v>
      </c>
      <c r="F16" s="22" t="n">
        <v>1.12088552013952</v>
      </c>
      <c r="G16" s="21" t="n">
        <v>2.86263464020282</v>
      </c>
      <c r="H16" s="23" t="n">
        <v>0.976</v>
      </c>
    </row>
    <row r="17" customFormat="false" ht="15" hidden="false" customHeight="true" outlineLevel="0" collapsed="false">
      <c r="A17" s="19" t="n">
        <v>654</v>
      </c>
      <c r="B17" s="19" t="n">
        <v>328</v>
      </c>
      <c r="C17" s="20" t="n">
        <v>0.540516819571866</v>
      </c>
      <c r="D17" s="20" t="n">
        <v>0.528845037608586</v>
      </c>
      <c r="E17" s="21" t="n">
        <v>1.16717819632803</v>
      </c>
      <c r="F17" s="22" t="n">
        <v>1.11857303030533</v>
      </c>
      <c r="G17" s="21" t="n">
        <v>2.83356134562949</v>
      </c>
      <c r="H17" s="23" t="n">
        <v>0.978666666666667</v>
      </c>
    </row>
    <row r="18" customFormat="false" ht="15" hidden="false" customHeight="true" outlineLevel="0" collapsed="false">
      <c r="A18" s="19" t="n">
        <v>664</v>
      </c>
      <c r="B18" s="19" t="n">
        <v>333</v>
      </c>
      <c r="C18" s="20" t="n">
        <v>0.54124297188755</v>
      </c>
      <c r="D18" s="20" t="n">
        <v>0.529466872739496</v>
      </c>
      <c r="E18" s="21" t="n">
        <v>1.17760991480536</v>
      </c>
      <c r="F18" s="22" t="n">
        <v>1.10039126300323</v>
      </c>
      <c r="G18" s="21" t="n">
        <v>2.83696401897263</v>
      </c>
      <c r="H18" s="23" t="n">
        <v>0.982666666666667</v>
      </c>
    </row>
    <row r="19" customFormat="false" ht="15" hidden="false" customHeight="true" outlineLevel="0" collapsed="false">
      <c r="A19" s="19" t="n">
        <v>674</v>
      </c>
      <c r="B19" s="19" t="n">
        <v>338</v>
      </c>
      <c r="C19" s="20" t="n">
        <v>0.539877349159241</v>
      </c>
      <c r="D19" s="20" t="n">
        <v>0.528508520717563</v>
      </c>
      <c r="E19" s="21" t="n">
        <v>1.13688284416781</v>
      </c>
      <c r="F19" s="22" t="n">
        <v>1.07554404449264</v>
      </c>
      <c r="G19" s="21" t="n">
        <v>2.84921566887428</v>
      </c>
      <c r="H19" s="23" t="n">
        <v>0.982666666666667</v>
      </c>
    </row>
    <row r="20" customFormat="false" ht="15" hidden="false" customHeight="true" outlineLevel="0" collapsed="false">
      <c r="A20" s="19" t="n">
        <v>684</v>
      </c>
      <c r="B20" s="19" t="n">
        <v>343</v>
      </c>
      <c r="C20" s="20" t="n">
        <v>0.541196881091616</v>
      </c>
      <c r="D20" s="20" t="n">
        <v>0.529326086801507</v>
      </c>
      <c r="E20" s="21" t="n">
        <v>1.18707942901092</v>
      </c>
      <c r="F20" s="22" t="n">
        <v>1.08370227906107</v>
      </c>
      <c r="G20" s="21" t="n">
        <v>2.83232553748657</v>
      </c>
      <c r="H20" s="23" t="n">
        <v>0.982666666666667</v>
      </c>
    </row>
    <row r="21" customFormat="false" ht="15" hidden="false" customHeight="true" outlineLevel="0" collapsed="false">
      <c r="A21" s="19" t="n">
        <v>694</v>
      </c>
      <c r="B21" s="19" t="n">
        <v>348</v>
      </c>
      <c r="C21" s="20" t="n">
        <v>0.54029106628242</v>
      </c>
      <c r="D21" s="20" t="n">
        <v>0.528977834145237</v>
      </c>
      <c r="E21" s="21" t="n">
        <v>1.13132321371836</v>
      </c>
      <c r="F21" s="22" t="n">
        <v>1.05832400503647</v>
      </c>
      <c r="G21" s="21" t="n">
        <v>2.85093552165316</v>
      </c>
      <c r="H21" s="23" t="n">
        <v>0.986666666666667</v>
      </c>
    </row>
    <row r="22" customFormat="false" ht="15" hidden="false" customHeight="true" outlineLevel="0" collapsed="false">
      <c r="A22" s="19" t="n">
        <v>704</v>
      </c>
      <c r="B22" s="19" t="n">
        <v>353</v>
      </c>
      <c r="C22" s="20" t="n">
        <v>0.540638257575757</v>
      </c>
      <c r="D22" s="20" t="n">
        <v>0.529128066324805</v>
      </c>
      <c r="E22" s="21" t="n">
        <v>1.15101912509519</v>
      </c>
      <c r="F22" s="22" t="n">
        <v>1.0348499648866</v>
      </c>
      <c r="G22" s="21" t="n">
        <v>2.85191464789668</v>
      </c>
      <c r="H22" s="23" t="n">
        <v>0.986</v>
      </c>
    </row>
    <row r="23" customFormat="false" ht="15" hidden="false" customHeight="true" outlineLevel="0" collapsed="false">
      <c r="A23" s="19" t="n">
        <v>714</v>
      </c>
      <c r="B23" s="19" t="n">
        <v>358</v>
      </c>
      <c r="C23" s="20" t="n">
        <v>0.54088608776844</v>
      </c>
      <c r="D23" s="20" t="n">
        <v>0.528816287258801</v>
      </c>
      <c r="E23" s="21" t="n">
        <v>1.20698005096387</v>
      </c>
      <c r="F23" s="22" t="n">
        <v>1.05272951774144</v>
      </c>
      <c r="G23" s="21" t="n">
        <v>2.83268537728206</v>
      </c>
      <c r="H23" s="23" t="n">
        <v>0.984</v>
      </c>
    </row>
    <row r="24" customFormat="false" ht="15" hidden="false" customHeight="true" outlineLevel="0" collapsed="false">
      <c r="A24" s="19" t="n">
        <v>724</v>
      </c>
      <c r="B24" s="19" t="n">
        <v>363</v>
      </c>
      <c r="C24" s="20" t="n">
        <v>0.54109300184162</v>
      </c>
      <c r="D24" s="20" t="n">
        <v>0.529283639696171</v>
      </c>
      <c r="E24" s="21" t="n">
        <v>1.18093621454493</v>
      </c>
      <c r="F24" s="22" t="n">
        <v>1.08297776839434</v>
      </c>
      <c r="G24" s="21" t="n">
        <v>2.83138826258785</v>
      </c>
      <c r="H24" s="23" t="n">
        <v>0.984666666666667</v>
      </c>
    </row>
    <row r="25" customFormat="false" ht="15" hidden="false" customHeight="true" outlineLevel="0" collapsed="false">
      <c r="A25" s="19" t="n">
        <v>734</v>
      </c>
      <c r="B25" s="19" t="n">
        <v>368</v>
      </c>
      <c r="C25" s="20" t="n">
        <v>0.540699364214351</v>
      </c>
      <c r="D25" s="20" t="n">
        <v>0.529239048203846</v>
      </c>
      <c r="E25" s="21" t="n">
        <v>1.14603160105049</v>
      </c>
      <c r="F25" s="22" t="n">
        <v>1.04232247256382</v>
      </c>
      <c r="G25" s="21" t="n">
        <v>2.84695481160511</v>
      </c>
      <c r="H25" s="23" t="n">
        <v>0.984</v>
      </c>
    </row>
    <row r="26" customFormat="false" ht="15" hidden="false" customHeight="true" outlineLevel="0" collapsed="false">
      <c r="A26" s="19" t="n">
        <v>744</v>
      </c>
      <c r="B26" s="19" t="n">
        <v>373</v>
      </c>
      <c r="C26" s="20" t="n">
        <v>0.540567204301067</v>
      </c>
      <c r="D26" s="20" t="n">
        <v>0.529138931689101</v>
      </c>
      <c r="E26" s="21" t="n">
        <v>1.14282726119663</v>
      </c>
      <c r="F26" s="22" t="n">
        <v>1.03151004545962</v>
      </c>
      <c r="G26" s="21" t="n">
        <v>2.85128260139424</v>
      </c>
      <c r="H26" s="23" t="n">
        <v>0.986666666666667</v>
      </c>
    </row>
    <row r="27" customFormat="false" ht="15" hidden="false" customHeight="true" outlineLevel="0" collapsed="false">
      <c r="A27" s="19" t="n">
        <v>754</v>
      </c>
      <c r="B27" s="19" t="n">
        <v>378</v>
      </c>
      <c r="C27" s="20" t="n">
        <v>0.540406719717072</v>
      </c>
      <c r="D27" s="20" t="n">
        <v>0.528876000894086</v>
      </c>
      <c r="E27" s="21" t="n">
        <v>1.15307188229861</v>
      </c>
      <c r="F27" s="22" t="n">
        <v>1.03155214878068</v>
      </c>
      <c r="G27" s="21" t="n">
        <v>2.83458783304681</v>
      </c>
      <c r="H27" s="23" t="n">
        <v>0.982666666666667</v>
      </c>
    </row>
    <row r="28" customFormat="false" ht="15" hidden="false" customHeight="true" outlineLevel="0" collapsed="false">
      <c r="A28" s="19" t="n">
        <v>764</v>
      </c>
      <c r="B28" s="19" t="n">
        <v>383</v>
      </c>
      <c r="C28" s="20" t="n">
        <v>0.540767015706806</v>
      </c>
      <c r="D28" s="20" t="n">
        <v>0.529232181235229</v>
      </c>
      <c r="E28" s="21" t="n">
        <v>1.15348344715773</v>
      </c>
      <c r="F28" s="22" t="n">
        <v>1.03054484956045</v>
      </c>
      <c r="G28" s="21" t="n">
        <v>2.83185374790274</v>
      </c>
      <c r="H28" s="23" t="n">
        <v>0.994</v>
      </c>
    </row>
    <row r="29" customFormat="false" ht="15" hidden="false" customHeight="true" outlineLevel="0" collapsed="false">
      <c r="A29" s="19" t="n">
        <v>774</v>
      </c>
      <c r="B29" s="19" t="n">
        <v>388</v>
      </c>
      <c r="C29" s="20" t="n">
        <v>0.540420327304041</v>
      </c>
      <c r="D29" s="20" t="n">
        <v>0.52906992159916</v>
      </c>
      <c r="E29" s="21" t="n">
        <v>1.13504057048808</v>
      </c>
      <c r="F29" s="22" t="n">
        <v>0.99272588627959</v>
      </c>
      <c r="G29" s="21" t="n">
        <v>2.84994081155697</v>
      </c>
      <c r="H29" s="23" t="n">
        <v>0.984666666666667</v>
      </c>
    </row>
    <row r="30" customFormat="false" ht="15" hidden="false" customHeight="true" outlineLevel="0" collapsed="false">
      <c r="A30" s="19" t="n">
        <v>784</v>
      </c>
      <c r="B30" s="19" t="n">
        <v>393</v>
      </c>
      <c r="C30" s="20" t="n">
        <v>0.540890306122448</v>
      </c>
      <c r="D30" s="20" t="n">
        <v>0.529315131864443</v>
      </c>
      <c r="E30" s="21" t="n">
        <v>1.15751742580055</v>
      </c>
      <c r="F30" s="22" t="n">
        <v>1.01945713789663</v>
      </c>
      <c r="G30" s="21" t="n">
        <v>2.85240395378028</v>
      </c>
      <c r="H30" s="23" t="n">
        <v>0.979333333333333</v>
      </c>
    </row>
    <row r="31" customFormat="false" ht="15" hidden="false" customHeight="true" outlineLevel="0" collapsed="false">
      <c r="A31" s="19" t="n">
        <v>794</v>
      </c>
      <c r="B31" s="19" t="n">
        <v>398</v>
      </c>
      <c r="C31" s="20" t="n">
        <v>0.540782535684306</v>
      </c>
      <c r="D31" s="20" t="n">
        <v>0.529298481979221</v>
      </c>
      <c r="E31" s="21" t="n">
        <v>1.14840537050847</v>
      </c>
      <c r="F31" s="22" t="n">
        <v>1.0271691517007</v>
      </c>
      <c r="G31" s="21" t="n">
        <v>2.84572401125033</v>
      </c>
      <c r="H31" s="23" t="n">
        <v>0.985333333333333</v>
      </c>
    </row>
    <row r="32" customFormat="false" ht="15" hidden="false" customHeight="true" outlineLevel="0" collapsed="false">
      <c r="A32" s="19" t="n">
        <v>804</v>
      </c>
      <c r="B32" s="19" t="n">
        <v>403</v>
      </c>
      <c r="C32" s="20" t="n">
        <v>0.540450248756219</v>
      </c>
      <c r="D32" s="20" t="n">
        <v>0.529095393027052</v>
      </c>
      <c r="E32" s="21" t="n">
        <v>1.13548557291668</v>
      </c>
      <c r="F32" s="22" t="n">
        <v>0.97110311980222</v>
      </c>
      <c r="G32" s="21" t="n">
        <v>2.84059751449061</v>
      </c>
      <c r="H32" s="23" t="n">
        <v>0.986666666666667</v>
      </c>
    </row>
    <row r="33" customFormat="false" ht="15" hidden="false" customHeight="true" outlineLevel="0" collapsed="false">
      <c r="A33" s="19" t="n">
        <v>814</v>
      </c>
      <c r="B33" s="19" t="n">
        <v>408</v>
      </c>
      <c r="C33" s="20" t="n">
        <v>0.54014823914824</v>
      </c>
      <c r="D33" s="20" t="n">
        <v>0.528834481476377</v>
      </c>
      <c r="E33" s="21" t="n">
        <v>1.1313757671863</v>
      </c>
      <c r="F33" s="22" t="n">
        <v>0.99180988333419</v>
      </c>
      <c r="G33" s="21" t="n">
        <v>2.85896218641246</v>
      </c>
      <c r="H33" s="23" t="n">
        <v>0.985333333333333</v>
      </c>
    </row>
    <row r="34" customFormat="false" ht="15" hidden="false" customHeight="true" outlineLevel="0" collapsed="false">
      <c r="A34" s="19" t="n">
        <v>824</v>
      </c>
      <c r="B34" s="19" t="n">
        <v>413</v>
      </c>
      <c r="C34" s="20" t="n">
        <v>0.540690938511326</v>
      </c>
      <c r="D34" s="20" t="n">
        <v>0.529320457289424</v>
      </c>
      <c r="E34" s="21" t="n">
        <v>1.13704812219019</v>
      </c>
      <c r="F34" s="22" t="n">
        <v>0.97387113179836</v>
      </c>
      <c r="G34" s="21" t="n">
        <v>2.8469721578725</v>
      </c>
      <c r="H34" s="23" t="n">
        <v>0.988666666666667</v>
      </c>
    </row>
    <row r="35" customFormat="false" ht="15" hidden="false" customHeight="true" outlineLevel="0" collapsed="false">
      <c r="A35" s="19" t="n">
        <v>834</v>
      </c>
      <c r="B35" s="19" t="n">
        <v>418</v>
      </c>
      <c r="C35" s="20" t="n">
        <v>0.540509992006395</v>
      </c>
      <c r="D35" s="20" t="n">
        <v>0.528659094569015</v>
      </c>
      <c r="E35" s="21" t="n">
        <v>1.18508974373803</v>
      </c>
      <c r="F35" s="22" t="n">
        <v>0.96984054930824</v>
      </c>
      <c r="G35" s="21" t="n">
        <v>2.84183754499545</v>
      </c>
      <c r="H35" s="23" t="n">
        <v>0.99</v>
      </c>
    </row>
    <row r="36" customFormat="false" ht="15" hidden="false" customHeight="true" outlineLevel="0" collapsed="false">
      <c r="A36" s="19" t="n">
        <v>844</v>
      </c>
      <c r="B36" s="19" t="n">
        <v>423</v>
      </c>
      <c r="C36" s="20" t="n">
        <v>0.54052448657188</v>
      </c>
      <c r="D36" s="20" t="n">
        <v>0.528986533330388</v>
      </c>
      <c r="E36" s="21" t="n">
        <v>1.15379532414923</v>
      </c>
      <c r="F36" s="22" t="n">
        <v>0.9881947868341</v>
      </c>
      <c r="G36" s="21" t="n">
        <v>2.84233322256911</v>
      </c>
      <c r="H36" s="23" t="n">
        <v>0.992</v>
      </c>
    </row>
    <row r="37" customFormat="false" ht="15" hidden="false" customHeight="true" outlineLevel="0" collapsed="false">
      <c r="A37" s="24" t="n">
        <v>850</v>
      </c>
      <c r="B37" s="25" t="n">
        <v>426</v>
      </c>
      <c r="C37" s="26" t="n">
        <v>0.540283137254894</v>
      </c>
      <c r="D37" s="26" t="n">
        <v>0.52890518207458</v>
      </c>
      <c r="E37" s="27" t="n">
        <v>1.13779551803144</v>
      </c>
      <c r="F37" s="28" t="n">
        <v>0.98812000055918</v>
      </c>
      <c r="G37" s="27" t="n">
        <v>2.85141803758005</v>
      </c>
      <c r="H37" s="29" t="n">
        <v>0.987333333333333</v>
      </c>
    </row>
    <row r="38" customFormat="false" ht="15" hidden="false" customHeight="true" outlineLevel="0" collapsed="false">
      <c r="A38" s="19" t="n">
        <v>854</v>
      </c>
      <c r="B38" s="19" t="n">
        <v>428</v>
      </c>
      <c r="C38" s="20" t="n">
        <v>0.540736924277908</v>
      </c>
      <c r="D38" s="20" t="n">
        <v>0.529209903031159</v>
      </c>
      <c r="E38" s="21" t="n">
        <v>1.15270212467485</v>
      </c>
      <c r="F38" s="22" t="n">
        <v>0.9807358700466</v>
      </c>
      <c r="G38" s="21" t="n">
        <v>2.84326809901299</v>
      </c>
      <c r="H38" s="23" t="n">
        <v>0.994666666666667</v>
      </c>
    </row>
    <row r="39" customFormat="false" ht="15" hidden="false" customHeight="true" outlineLevel="0" collapsed="false">
      <c r="A39" s="19" t="n">
        <v>864</v>
      </c>
      <c r="B39" s="19" t="n">
        <v>433</v>
      </c>
      <c r="C39" s="20" t="n">
        <v>0.540569444444443</v>
      </c>
      <c r="D39" s="20" t="n">
        <v>0.529379258019504</v>
      </c>
      <c r="E39" s="21" t="n">
        <v>1.11901864249392</v>
      </c>
      <c r="F39" s="22" t="n">
        <v>1.01771598494596</v>
      </c>
      <c r="G39" s="21" t="n">
        <v>2.85758547704944</v>
      </c>
      <c r="H39" s="23" t="n">
        <v>0.992666666666667</v>
      </c>
    </row>
    <row r="40" customFormat="false" ht="15" hidden="false" customHeight="true" outlineLevel="0" collapsed="false">
      <c r="A40" s="19" t="n">
        <v>874</v>
      </c>
      <c r="B40" s="19" t="n">
        <v>438</v>
      </c>
      <c r="C40" s="20" t="n">
        <v>0.540758962623951</v>
      </c>
      <c r="D40" s="20" t="n">
        <v>0.52908566425116</v>
      </c>
      <c r="E40" s="21" t="n">
        <v>1.16732983727907</v>
      </c>
      <c r="F40" s="22" t="n">
        <v>0.97740171774581</v>
      </c>
      <c r="G40" s="21" t="n">
        <v>2.84077735000168</v>
      </c>
      <c r="H40" s="23" t="n">
        <v>0.991333333333333</v>
      </c>
    </row>
    <row r="41" customFormat="false" ht="15" hidden="false" customHeight="true" outlineLevel="0" collapsed="false">
      <c r="A41" s="19" t="n">
        <v>884</v>
      </c>
      <c r="B41" s="19" t="n">
        <v>443</v>
      </c>
      <c r="C41" s="20" t="n">
        <v>0.540573906485671</v>
      </c>
      <c r="D41" s="20" t="n">
        <v>0.529294902720932</v>
      </c>
      <c r="E41" s="21" t="n">
        <v>1.12790037647392</v>
      </c>
      <c r="F41" s="22" t="n">
        <v>0.98707318767649</v>
      </c>
      <c r="G41" s="21" t="n">
        <v>2.84526842122687</v>
      </c>
      <c r="H41" s="23" t="n">
        <v>0.992666666666667</v>
      </c>
    </row>
    <row r="42" customFormat="false" ht="15" hidden="false" customHeight="true" outlineLevel="0" collapsed="false">
      <c r="A42" s="19" t="n">
        <v>894</v>
      </c>
      <c r="B42" s="19" t="n">
        <v>448</v>
      </c>
      <c r="C42" s="20" t="n">
        <v>0.541462341536168</v>
      </c>
      <c r="D42" s="20" t="n">
        <v>0.52961686102178</v>
      </c>
      <c r="E42" s="21" t="n">
        <v>1.18454805143872</v>
      </c>
      <c r="F42" s="22" t="n">
        <v>0.9710320301214</v>
      </c>
      <c r="G42" s="21" t="n">
        <v>2.82564408714311</v>
      </c>
      <c r="H42" s="23" t="n">
        <v>0.991333333333333</v>
      </c>
    </row>
    <row r="43" customFormat="false" ht="15" hidden="false" customHeight="true" outlineLevel="0" collapsed="false">
      <c r="A43" s="19" t="n">
        <v>904</v>
      </c>
      <c r="B43" s="19" t="n">
        <v>453</v>
      </c>
      <c r="C43" s="20" t="n">
        <v>0.54038716814159</v>
      </c>
      <c r="D43" s="20" t="n">
        <v>0.529152838808285</v>
      </c>
      <c r="E43" s="21" t="n">
        <v>1.12343293333058</v>
      </c>
      <c r="F43" s="22" t="n">
        <v>0.92291659008837</v>
      </c>
      <c r="G43" s="21" t="n">
        <v>2.85212602771398</v>
      </c>
      <c r="H43" s="23" t="n">
        <v>0.992</v>
      </c>
    </row>
    <row r="44" customFormat="false" ht="15" hidden="false" customHeight="true" outlineLevel="0" collapsed="false">
      <c r="A44" s="19" t="n">
        <v>914</v>
      </c>
      <c r="B44" s="19" t="n">
        <v>458</v>
      </c>
      <c r="C44" s="20" t="n">
        <v>0.540638949671772</v>
      </c>
      <c r="D44" s="20" t="n">
        <v>0.529240850884652</v>
      </c>
      <c r="E44" s="21" t="n">
        <v>1.13980987871202</v>
      </c>
      <c r="F44" s="22" t="n">
        <v>0.92379897503001</v>
      </c>
      <c r="G44" s="21" t="n">
        <v>2.83912657522041</v>
      </c>
      <c r="H44" s="23" t="n">
        <v>0.994666666666667</v>
      </c>
    </row>
    <row r="45" customFormat="false" ht="15" hidden="false" customHeight="true" outlineLevel="0" collapsed="false">
      <c r="A45" s="19" t="n">
        <v>924</v>
      </c>
      <c r="B45" s="19" t="n">
        <v>463</v>
      </c>
      <c r="C45" s="20" t="n">
        <v>0.540622655122656</v>
      </c>
      <c r="D45" s="20" t="n">
        <v>0.529046056010744</v>
      </c>
      <c r="E45" s="21" t="n">
        <v>1.1576599111912</v>
      </c>
      <c r="F45" s="22" t="n">
        <v>0.94330900019405</v>
      </c>
      <c r="G45" s="21" t="n">
        <v>2.85089447437658</v>
      </c>
      <c r="H45" s="23" t="n">
        <v>0.996666666666667</v>
      </c>
    </row>
    <row r="46" customFormat="false" ht="15" hidden="false" customHeight="true" outlineLevel="0" collapsed="false">
      <c r="A46" s="19" t="n">
        <v>934</v>
      </c>
      <c r="B46" s="19" t="n">
        <v>468</v>
      </c>
      <c r="C46" s="20" t="n">
        <v>0.54057744468237</v>
      </c>
      <c r="D46" s="20" t="n">
        <v>0.528978122413288</v>
      </c>
      <c r="E46" s="21" t="n">
        <v>1.15993222690822</v>
      </c>
      <c r="F46" s="22" t="n">
        <v>0.91281864313774</v>
      </c>
      <c r="G46" s="21" t="n">
        <v>2.8506832047214</v>
      </c>
      <c r="H46" s="23" t="n">
        <v>0.995333333333333</v>
      </c>
    </row>
    <row r="47" customFormat="false" ht="15" hidden="false" customHeight="true" outlineLevel="0" collapsed="false">
      <c r="A47" s="19" t="n">
        <v>944</v>
      </c>
      <c r="B47" s="19" t="n">
        <v>473</v>
      </c>
      <c r="C47" s="20" t="n">
        <v>0.540882768361582</v>
      </c>
      <c r="D47" s="20" t="n">
        <v>0.529273168574036</v>
      </c>
      <c r="E47" s="21" t="n">
        <v>1.16095997875466</v>
      </c>
      <c r="F47" s="22" t="n">
        <v>0.94680182539323</v>
      </c>
      <c r="G47" s="21" t="n">
        <v>2.8518960114265</v>
      </c>
      <c r="H47" s="23" t="n">
        <v>0.986</v>
      </c>
    </row>
    <row r="48" customFormat="false" ht="15" hidden="false" customHeight="true" outlineLevel="0" collapsed="false">
      <c r="A48" s="19" t="n">
        <v>954</v>
      </c>
      <c r="B48" s="19" t="n">
        <v>478</v>
      </c>
      <c r="C48" s="20" t="n">
        <v>0.540754716981133</v>
      </c>
      <c r="D48" s="20" t="n">
        <v>0.52907087112973</v>
      </c>
      <c r="E48" s="21" t="n">
        <v>1.16838458514029</v>
      </c>
      <c r="F48" s="22" t="n">
        <v>0.91241239239123</v>
      </c>
      <c r="G48" s="21" t="n">
        <v>2.83860833086688</v>
      </c>
      <c r="H48" s="23" t="n">
        <v>0.994</v>
      </c>
    </row>
    <row r="49" customFormat="false" ht="15" hidden="false" customHeight="true" outlineLevel="0" collapsed="false">
      <c r="A49" s="19" t="n">
        <v>964</v>
      </c>
      <c r="B49" s="19" t="n">
        <v>483</v>
      </c>
      <c r="C49" s="20" t="n">
        <v>0.540903872752419</v>
      </c>
      <c r="D49" s="20" t="n">
        <v>0.529163999208693</v>
      </c>
      <c r="E49" s="21" t="n">
        <v>1.17398735437265</v>
      </c>
      <c r="F49" s="22" t="n">
        <v>0.90885920200077</v>
      </c>
      <c r="G49" s="21" t="n">
        <v>2.84811516019677</v>
      </c>
      <c r="H49" s="23" t="n">
        <v>0.996666666666667</v>
      </c>
    </row>
    <row r="50" customFormat="false" ht="15" hidden="false" customHeight="true" outlineLevel="0" collapsed="false">
      <c r="A50" s="19" t="n">
        <v>974</v>
      </c>
      <c r="B50" s="19" t="n">
        <v>488</v>
      </c>
      <c r="C50" s="20" t="n">
        <v>0.540803559206022</v>
      </c>
      <c r="D50" s="20" t="n">
        <v>0.528940445712394</v>
      </c>
      <c r="E50" s="21" t="n">
        <v>1.18631134936281</v>
      </c>
      <c r="F50" s="22" t="n">
        <v>0.86115580658837</v>
      </c>
      <c r="G50" s="21" t="n">
        <v>2.84817028003093</v>
      </c>
      <c r="H50" s="23" t="n">
        <v>0.997333333333333</v>
      </c>
    </row>
    <row r="51" customFormat="false" ht="15" hidden="false" customHeight="true" outlineLevel="0" collapsed="false">
      <c r="A51" s="19" t="n">
        <v>984</v>
      </c>
      <c r="B51" s="19" t="n">
        <v>493</v>
      </c>
      <c r="C51" s="20" t="n">
        <v>0.540657859078582</v>
      </c>
      <c r="D51" s="20" t="n">
        <v>0.528991145776946</v>
      </c>
      <c r="E51" s="21" t="n">
        <v>1.16667133016363</v>
      </c>
      <c r="F51" s="22" t="n">
        <v>0.89456072071183</v>
      </c>
      <c r="G51" s="21" t="n">
        <v>2.83158235405333</v>
      </c>
      <c r="H51" s="23" t="n">
        <v>0.994</v>
      </c>
    </row>
    <row r="52" customFormat="false" ht="15" hidden="false" customHeight="true" outlineLevel="0" collapsed="false">
      <c r="A52" s="19" t="n">
        <v>994</v>
      </c>
      <c r="B52" s="19" t="n">
        <v>498</v>
      </c>
      <c r="C52" s="20" t="n">
        <v>0.541221998658619</v>
      </c>
      <c r="D52" s="20" t="n">
        <v>0.529423465725245</v>
      </c>
      <c r="E52" s="21" t="n">
        <v>1.17985329333737</v>
      </c>
      <c r="F52" s="22" t="n">
        <v>0.91062290367696</v>
      </c>
      <c r="G52" s="21" t="n">
        <v>2.84302766694411</v>
      </c>
      <c r="H52" s="23" t="n">
        <v>0.992666666666667</v>
      </c>
    </row>
    <row r="53" customFormat="false" ht="15" hidden="false" customHeight="true" outlineLevel="0" collapsed="false">
      <c r="A53" s="24" t="n">
        <v>1000</v>
      </c>
      <c r="B53" s="25" t="n">
        <v>501</v>
      </c>
      <c r="C53" s="26" t="n">
        <v>0.541189333333333</v>
      </c>
      <c r="D53" s="26" t="n">
        <v>0.529281138408292</v>
      </c>
      <c r="E53" s="27" t="n">
        <v>1.19081949250418</v>
      </c>
      <c r="F53" s="28" t="n">
        <v>0.86480631260262</v>
      </c>
      <c r="G53" s="27" t="n">
        <v>2.83835888265196</v>
      </c>
      <c r="H53" s="29" t="n">
        <v>0.994666666666667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30" t="s">
        <v>131</v>
      </c>
      <c r="B1" s="30"/>
      <c r="C1" s="30"/>
      <c r="D1" s="30"/>
      <c r="E1" s="30"/>
      <c r="F1" s="30"/>
    </row>
    <row r="2" customFormat="false" ht="15" hidden="false" customHeight="false" outlineLevel="0" collapsed="false">
      <c r="A2" s="31" t="s">
        <v>132</v>
      </c>
      <c r="B2" s="31"/>
      <c r="C2" s="31"/>
      <c r="D2" s="31"/>
      <c r="E2" s="31"/>
      <c r="F2" s="31"/>
    </row>
    <row r="4" customFormat="false" ht="15" hidden="false" customHeight="false" outlineLevel="0" collapsed="false">
      <c r="A4" s="32" t="s">
        <v>133</v>
      </c>
      <c r="B4" s="32"/>
      <c r="C4" s="32"/>
      <c r="D4" s="32"/>
      <c r="E4" s="32"/>
      <c r="F4" s="32"/>
    </row>
    <row r="5" customFormat="false" ht="15" hidden="false" customHeight="false" outlineLevel="0" collapsed="false">
      <c r="A5" s="33" t="s">
        <v>134</v>
      </c>
      <c r="B5" s="33"/>
      <c r="C5" s="33"/>
      <c r="D5" s="33"/>
      <c r="E5" s="33"/>
      <c r="F5" s="33"/>
    </row>
    <row r="6" customFormat="false" ht="15" hidden="false" customHeight="false" outlineLevel="0" collapsed="false">
      <c r="A6" s="33" t="s">
        <v>135</v>
      </c>
      <c r="B6" s="33"/>
      <c r="C6" s="33"/>
      <c r="D6" s="33"/>
      <c r="E6" s="33"/>
      <c r="F6" s="33"/>
    </row>
    <row r="7" customFormat="false" ht="15" hidden="false" customHeight="false" outlineLevel="0" collapsed="false">
      <c r="A7" s="33" t="s">
        <v>136</v>
      </c>
      <c r="B7" s="33"/>
      <c r="C7" s="33"/>
      <c r="D7" s="33"/>
      <c r="E7" s="33"/>
      <c r="F7" s="33"/>
    </row>
    <row r="8" customFormat="false" ht="15" hidden="false" customHeight="false" outlineLevel="0" collapsed="false">
      <c r="A8" s="33" t="s">
        <v>137</v>
      </c>
      <c r="B8" s="33"/>
      <c r="C8" s="33"/>
      <c r="D8" s="33"/>
      <c r="E8" s="33"/>
      <c r="F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</row>
    <row r="10" customFormat="false" ht="15" hidden="false" customHeight="false" outlineLevel="0" collapsed="false">
      <c r="A10" s="33" t="s">
        <v>138</v>
      </c>
      <c r="B10" s="33"/>
      <c r="C10" s="33"/>
      <c r="D10" s="33"/>
      <c r="E10" s="33"/>
      <c r="F10" s="33"/>
    </row>
    <row r="11" customFormat="false" ht="15" hidden="false" customHeight="false" outlineLevel="0" collapsed="false">
      <c r="A11" s="33" t="s">
        <v>139</v>
      </c>
      <c r="B11" s="33"/>
      <c r="C11" s="33"/>
      <c r="D11" s="33"/>
      <c r="E11" s="33"/>
      <c r="F11" s="33"/>
    </row>
    <row r="12" customFormat="false" ht="15" hidden="false" customHeight="false" outlineLevel="0" collapsed="false">
      <c r="A12" s="33" t="s">
        <v>140</v>
      </c>
      <c r="B12" s="33"/>
      <c r="C12" s="33"/>
      <c r="D12" s="33"/>
      <c r="E12" s="33"/>
      <c r="F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</row>
    <row r="14" customFormat="false" ht="15" hidden="false" customHeight="false" outlineLevel="0" collapsed="false">
      <c r="A14" s="33" t="s">
        <v>141</v>
      </c>
      <c r="B14" s="33"/>
      <c r="C14" s="33"/>
      <c r="D14" s="33"/>
      <c r="E14" s="33"/>
      <c r="F14" s="33"/>
    </row>
    <row r="15" customFormat="false" ht="15" hidden="false" customHeight="false" outlineLevel="0" collapsed="false">
      <c r="A15" s="33" t="s">
        <v>142</v>
      </c>
      <c r="B15" s="33"/>
      <c r="C15" s="33"/>
      <c r="D15" s="33"/>
      <c r="E15" s="33"/>
      <c r="F15" s="33"/>
    </row>
    <row r="17" customFormat="false" ht="15" hidden="false" customHeight="false" outlineLevel="0" collapsed="false">
      <c r="A17" s="32" t="s">
        <v>143</v>
      </c>
      <c r="B17" s="32"/>
      <c r="C17" s="32"/>
      <c r="D17" s="32"/>
      <c r="E17" s="32"/>
      <c r="F17" s="32"/>
    </row>
    <row r="18" customFormat="false" ht="15" hidden="false" customHeight="false" outlineLevel="0" collapsed="false">
      <c r="A18" s="33" t="s">
        <v>144</v>
      </c>
      <c r="B18" s="33"/>
      <c r="C18" s="33"/>
      <c r="D18" s="33"/>
      <c r="E18" s="33"/>
      <c r="F18" s="33"/>
    </row>
    <row r="19" customFormat="false" ht="15" hidden="false" customHeight="false" outlineLevel="0" collapsed="false">
      <c r="A19" s="33" t="s">
        <v>145</v>
      </c>
      <c r="B19" s="33"/>
      <c r="C19" s="33"/>
      <c r="D19" s="33"/>
      <c r="E19" s="33"/>
      <c r="F19" s="33"/>
    </row>
    <row r="20" customFormat="false" ht="15" hidden="false" customHeight="false" outlineLevel="0" collapsed="false">
      <c r="A20" s="33" t="s">
        <v>146</v>
      </c>
      <c r="B20" s="33"/>
      <c r="C20" s="33"/>
      <c r="D20" s="33"/>
      <c r="E20" s="33"/>
      <c r="F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</row>
    <row r="22" customFormat="false" ht="15" hidden="false" customHeight="false" outlineLevel="0" collapsed="false">
      <c r="A22" s="33" t="s">
        <v>147</v>
      </c>
      <c r="B22" s="33"/>
      <c r="C22" s="33"/>
      <c r="D22" s="33"/>
      <c r="E22" s="33"/>
      <c r="F22" s="33"/>
    </row>
    <row r="23" customFormat="false" ht="15" hidden="false" customHeight="false" outlineLevel="0" collapsed="false">
      <c r="A23" s="33" t="s">
        <v>148</v>
      </c>
      <c r="B23" s="33"/>
      <c r="C23" s="33"/>
      <c r="D23" s="33"/>
      <c r="E23" s="33"/>
      <c r="F23" s="33"/>
    </row>
    <row r="24" customFormat="false" ht="15" hidden="false" customHeight="false" outlineLevel="0" collapsed="false">
      <c r="A24" s="33" t="s">
        <v>149</v>
      </c>
      <c r="B24" s="33"/>
      <c r="C24" s="33"/>
      <c r="D24" s="33"/>
      <c r="E24" s="33"/>
      <c r="F24" s="33"/>
    </row>
    <row r="25" customFormat="false" ht="15" hidden="false" customHeight="false" outlineLevel="0" collapsed="false">
      <c r="A25" s="33" t="s">
        <v>150</v>
      </c>
      <c r="B25" s="33"/>
      <c r="C25" s="33"/>
      <c r="D25" s="33"/>
      <c r="E25" s="33"/>
      <c r="F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</row>
    <row r="27" customFormat="false" ht="15" hidden="false" customHeight="false" outlineLevel="0" collapsed="false">
      <c r="A27" s="33" t="s">
        <v>151</v>
      </c>
      <c r="B27" s="33"/>
      <c r="C27" s="33"/>
      <c r="D27" s="33"/>
      <c r="E27" s="33"/>
      <c r="F27" s="33"/>
    </row>
    <row r="29" customFormat="false" ht="15" hidden="false" customHeight="false" outlineLevel="0" collapsed="false">
      <c r="A29" s="34" t="s">
        <v>152</v>
      </c>
      <c r="B29" s="34"/>
      <c r="C29" s="34"/>
      <c r="D29" s="34"/>
      <c r="E29" s="34"/>
      <c r="F29" s="34"/>
    </row>
    <row r="30" customFormat="false" ht="15" hidden="false" customHeight="false" outlineLevel="0" collapsed="false">
      <c r="A30" s="33" t="s">
        <v>153</v>
      </c>
      <c r="B30" s="33"/>
      <c r="C30" s="33"/>
      <c r="D30" s="33"/>
      <c r="E30" s="33"/>
      <c r="F30" s="33"/>
    </row>
    <row r="31" customFormat="false" ht="15" hidden="false" customHeight="false" outlineLevel="0" collapsed="false">
      <c r="A31" s="33" t="s">
        <v>154</v>
      </c>
      <c r="B31" s="33"/>
      <c r="C31" s="33"/>
      <c r="D31" s="33"/>
      <c r="E31" s="33"/>
      <c r="F31" s="33"/>
    </row>
    <row r="32" customFormat="false" ht="15" hidden="false" customHeight="false" outlineLevel="0" collapsed="false">
      <c r="A32" s="33" t="s">
        <v>155</v>
      </c>
      <c r="B32" s="33"/>
      <c r="C32" s="33"/>
      <c r="D32" s="33"/>
      <c r="E32" s="33"/>
      <c r="F32" s="33"/>
    </row>
    <row r="33" customFormat="false" ht="15" hidden="false" customHeight="false" outlineLevel="0" collapsed="false">
      <c r="A33" s="33" t="s">
        <v>156</v>
      </c>
      <c r="B33" s="33"/>
      <c r="C33" s="33"/>
      <c r="D33" s="33"/>
      <c r="E33" s="33"/>
      <c r="F33" s="33"/>
    </row>
    <row r="35" customFormat="false" ht="15" hidden="false" customHeight="false" outlineLevel="0" collapsed="false">
      <c r="A35" s="34" t="s">
        <v>157</v>
      </c>
      <c r="B35" s="34"/>
      <c r="C35" s="34"/>
      <c r="D35" s="34"/>
      <c r="E35" s="34"/>
      <c r="F35" s="34"/>
    </row>
    <row r="36" customFormat="false" ht="15" hidden="false" customHeight="false" outlineLevel="0" collapsed="false">
      <c r="A36" s="33" t="s">
        <v>158</v>
      </c>
      <c r="B36" s="33"/>
      <c r="C36" s="33"/>
      <c r="D36" s="33"/>
      <c r="E36" s="33"/>
      <c r="F36" s="33"/>
    </row>
    <row r="37" customFormat="false" ht="15" hidden="false" customHeight="false" outlineLevel="0" collapsed="false">
      <c r="A37" s="33" t="s">
        <v>159</v>
      </c>
      <c r="B37" s="33"/>
      <c r="C37" s="33"/>
      <c r="D37" s="33"/>
      <c r="E37" s="33"/>
      <c r="F37" s="33"/>
    </row>
    <row r="38" customFormat="false" ht="15" hidden="false" customHeight="false" outlineLevel="0" collapsed="false">
      <c r="A38" s="33" t="s">
        <v>160</v>
      </c>
      <c r="B38" s="33"/>
      <c r="C38" s="33"/>
      <c r="D38" s="33"/>
      <c r="E38" s="33"/>
      <c r="F38" s="33"/>
    </row>
    <row r="40" customFormat="false" ht="15" hidden="false" customHeight="false" outlineLevel="0" collapsed="false">
      <c r="A40" s="35" t="s">
        <v>161</v>
      </c>
      <c r="B40" s="35"/>
      <c r="C40" s="35"/>
      <c r="D40" s="35"/>
      <c r="E40" s="35"/>
      <c r="F40" s="35"/>
    </row>
    <row r="41" customFormat="false" ht="15" hidden="false" customHeight="false" outlineLevel="0" collapsed="false">
      <c r="A41" s="33" t="s">
        <v>162</v>
      </c>
      <c r="B41" s="33"/>
      <c r="C41" s="33"/>
      <c r="D41" s="33"/>
      <c r="E41" s="33"/>
      <c r="F41" s="33"/>
    </row>
    <row r="42" customFormat="false" ht="15" hidden="false" customHeight="false" outlineLevel="0" collapsed="false">
      <c r="A42" s="33" t="s">
        <v>163</v>
      </c>
      <c r="B42" s="33"/>
      <c r="C42" s="33"/>
      <c r="D42" s="33"/>
      <c r="E42" s="33"/>
      <c r="F42" s="33"/>
    </row>
    <row r="44" customFormat="false" ht="15" hidden="false" customHeight="false" outlineLevel="0" collapsed="false">
      <c r="A44" s="35" t="s">
        <v>164</v>
      </c>
      <c r="B44" s="35"/>
      <c r="C44" s="35"/>
      <c r="D44" s="35"/>
      <c r="E44" s="35"/>
      <c r="F44" s="35"/>
    </row>
    <row r="45" customFormat="false" ht="15" hidden="false" customHeight="false" outlineLevel="0" collapsed="false">
      <c r="A45" s="33" t="s">
        <v>165</v>
      </c>
      <c r="B45" s="33"/>
      <c r="C45" s="33"/>
      <c r="D45" s="33"/>
      <c r="E45" s="33"/>
      <c r="F45" s="33"/>
    </row>
    <row r="47" customFormat="false" ht="15" hidden="false" customHeight="false" outlineLevel="0" collapsed="false">
      <c r="A47" s="35" t="s">
        <v>166</v>
      </c>
      <c r="B47" s="35"/>
      <c r="C47" s="35"/>
      <c r="D47" s="35"/>
      <c r="E47" s="35"/>
      <c r="F47" s="35"/>
    </row>
    <row r="48" customFormat="false" ht="15" hidden="false" customHeight="false" outlineLevel="0" collapsed="false">
      <c r="A48" s="33" t="s">
        <v>167</v>
      </c>
      <c r="B48" s="33"/>
      <c r="C48" s="33"/>
      <c r="D48" s="33"/>
      <c r="E48" s="33"/>
      <c r="F48" s="33"/>
    </row>
    <row r="51" customFormat="false" ht="15" hidden="false" customHeight="false" outlineLevel="0" collapsed="false">
      <c r="A51" s="36" t="s">
        <v>168</v>
      </c>
    </row>
    <row r="52" customFormat="false" ht="15" hidden="false" customHeight="false" outlineLevel="0" collapsed="false">
      <c r="A52" s="37" t="s">
        <v>169</v>
      </c>
      <c r="B52" s="37"/>
      <c r="C52" s="37"/>
      <c r="D52" s="37"/>
      <c r="E52" s="37"/>
      <c r="F52" s="37"/>
    </row>
    <row r="53" customFormat="false" ht="15" hidden="false" customHeight="false" outlineLevel="0" collapsed="false">
      <c r="A53" s="37" t="s">
        <v>170</v>
      </c>
      <c r="B53" s="37"/>
      <c r="C53" s="37"/>
      <c r="D53" s="37"/>
      <c r="E53" s="37"/>
      <c r="F53" s="37"/>
    </row>
    <row r="54" customFormat="false" ht="15" hidden="false" customHeight="false" outlineLevel="0" collapsed="false">
      <c r="A54" s="38" t="s">
        <v>171</v>
      </c>
      <c r="B54" s="38"/>
      <c r="C54" s="38"/>
      <c r="D54" s="38"/>
      <c r="E54" s="38"/>
      <c r="F54" s="38"/>
    </row>
    <row r="55" customFormat="false" ht="15" hidden="false" customHeight="false" outlineLevel="0" collapsed="false">
      <c r="A55" s="38" t="s">
        <v>172</v>
      </c>
      <c r="B55" s="38"/>
      <c r="C55" s="38"/>
      <c r="D55" s="38"/>
      <c r="E55" s="38"/>
      <c r="F55" s="38"/>
    </row>
    <row r="56" customFormat="false" ht="15" hidden="false" customHeight="false" outlineLevel="0" collapsed="false">
      <c r="A56" s="37" t="s">
        <v>173</v>
      </c>
      <c r="B56" s="37"/>
      <c r="C56" s="37"/>
      <c r="D56" s="37"/>
      <c r="E56" s="37"/>
      <c r="F56" s="37"/>
    </row>
  </sheetData>
  <mergeCells count="46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9:F29"/>
    <mergeCell ref="A30:F30"/>
    <mergeCell ref="A31:F31"/>
    <mergeCell ref="A32:F32"/>
    <mergeCell ref="A33:F33"/>
    <mergeCell ref="A35:F35"/>
    <mergeCell ref="A36:F36"/>
    <mergeCell ref="A37:F37"/>
    <mergeCell ref="A38:F38"/>
    <mergeCell ref="A40:F40"/>
    <mergeCell ref="A41:F41"/>
    <mergeCell ref="A42:F42"/>
    <mergeCell ref="A44:F44"/>
    <mergeCell ref="A45:F45"/>
    <mergeCell ref="A47:F47"/>
    <mergeCell ref="A48:F48"/>
    <mergeCell ref="A52:F52"/>
    <mergeCell ref="A53:F53"/>
    <mergeCell ref="A54:F54"/>
    <mergeCell ref="A55:F55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2026-06-29T22:11:48Z</dcterms:created>
  <dc:creator>openpyxl</dc:creator>
  <dc:description/>
  <dc:language>en-US</dc:language>
  <cp:lastModifiedBy/>
  <dcterms:modified xsi:type="dcterms:W3CDTF">2026-06-30T04:33:44Z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