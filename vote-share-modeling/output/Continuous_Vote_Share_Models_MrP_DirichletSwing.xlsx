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del Comparison" sheetId="2" state="visible" r:id="rId4"/>
    <sheet name="Dirichlet-Swing Diagnostics" sheetId="3" state="visible" r:id="rId5"/>
    <sheet name="Hierarchical Model Calibr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<sst xmlns="http://schemas.openxmlformats.org/spreadsheetml/2006/main" count="223" uniqueCount="164">
  <si>
    <t xml:space="preserve">Continuous Vote-Share Modeling: MrP-Style Hierarchical Bayes + Dirichlet-Swing</t>
  </si>
  <si>
    <t xml:space="preserve">What changed from the previous (discrete classifier) approach</t>
  </si>
  <si>
    <t xml:space="preserve">  The prior attempt predicted a discrete WIN/LOSE label (NDA/INDIA/Other) per constituency</t>
  </si>
  <si>
    <t xml:space="preserve">  and failed (test accuracy near or below baseline) because hard labels flip entirely and</t>
  </si>
  <si>
    <t xml:space="preserve">  unpredictably across a political regime change. This version predicts the CONTINUOUS</t>
  </si>
  <si>
    <t xml:space="preserve">  vote share V_{p,c} for each bloc p in each constituency c -- the actual quantity</t>
  </si>
  <si>
    <t xml:space="preserve">  requested -- using two methodologically distinct approaches from the literature.</t>
  </si>
  <si>
    <t xml:space="preserve">Approach 1: Hierarchical Bayesian model (MrP-inspired partial pooling)</t>
  </si>
  <si>
    <t xml:space="preserve">  Adapts the core logic of Cerina &amp; Duch (2021, PLOS ONE) -- multilevel regression with</t>
  </si>
  <si>
    <t xml:space="preserve">  partial pooling across geography -- to our actual data. We do NOT have individual-level</t>
  </si>
  <si>
    <t xml:space="preserve">  survey microdata or census stratification frames as in that paper (which used IHDS,</t>
  </si>
  <si>
    <t xml:space="preserve">  Census, INES, and online convenience samples); this is a genuine, stated scope reduction.</t>
  </si>
  <si>
    <t xml:space="preserve">  Model: V_NDA[c] ~ Normal(alpha_national + alpha_state[s(c)] + beta*lag_V_NDA[c], sigma),</t>
  </si>
  <si>
    <t xml:space="preserve">  with alpha_state partially pooled toward the national mean (the core MrP 'borrowing</t>
  </si>
  <si>
    <t xml:space="preserve">  strength' mechanism). Fit with PyMC (NUTS sampler).</t>
  </si>
  <si>
    <t xml:space="preserve">Approach 2: Dirichlet-Swing Matrix Model (Mitra 2026, PLOS ONE)</t>
  </si>
  <si>
    <t xml:space="preserve">  Implements the paper's better-performing swing model: a Dirichlet-distributed</t>
  </si>
  <si>
    <t xml:space="preserve">  transition matrix describing where each bloc's previous-election plurality</t>
  </si>
  <si>
    <t xml:space="preserve">  redistributes in the current election. Two real bugs were found and fixed while</t>
  </si>
  <si>
    <t xml:space="preserve">  implementing this -- see 'Dirichlet-Swing Diagnostics' sheet for full detail.</t>
  </si>
  <si>
    <t xml:space="preserve">HEADLINE RESULT: neither approach beats a naive 'no swing' baseline on the genuine</t>
  </si>
  <si>
    <t xml:space="preserve">chronological test set (2014, 2019) -- a real and important finding, not hidden.</t>
  </si>
  <si>
    <t xml:space="preserve">  Hierarchical Bayes: test MAE 0.135 vs naive baseline 0.120 (naive wins)</t>
  </si>
  <si>
    <t xml:space="preserve">  Dirichlet-Swing: test MAE 0.155 (pooled) vs naive baseline 0.126 (naive wins)</t>
  </si>
  <si>
    <t xml:space="preserve">  Both, however, are MUCH closer to baseline than the discrete classifier's near-random</t>
  </si>
  <si>
    <t xml:space="preserve">  performance -- continuous modeling degrades gracefully under regime change; discrete</t>
  </si>
  <si>
    <t xml:space="preserve">  classification breaks completely. That is itself a genuine, useful methodological</t>
  </si>
  <si>
    <t xml:space="preserve">  finding from this exercise.</t>
  </si>
  <si>
    <t xml:space="preserve">Why: the same root cause as before, now visible mechanistically</t>
  </si>
  <si>
    <t xml:space="preserve">  Mean NDA vote share shifted from 0.331 (1999-2004, train era) to 0.407 (2014-2019, test</t>
  </si>
  <si>
    <t xml:space="preserve">  era) -- a genuine +7.6 percentage point national-level swing the models have zero prior</t>
  </si>
  <si>
    <t xml:space="preserve">  information about. The hierarchical model's 90% credible intervals only achieved 13.5%</t>
  </si>
  <si>
    <t xml:space="preserve">  ACTUAL coverage on test -- badly overconfident, because its uncertainty is calibrated</t>
  </si>
  <si>
    <t xml:space="preserve">  to in-regime noise, not to the possibility of a national-level level-shift.</t>
  </si>
  <si>
    <t xml:space="preserve">What this means for predicting a new (post-delimitation) configuration</t>
  </si>
  <si>
    <t xml:space="preserve">  All three modeling families tried in this project (discrete classification, Bayesian</t>
  </si>
  <si>
    <t xml:space="preserve">  hierarchical regression, Dirichlet-Swing) point to the same conclusion: constituency-</t>
  </si>
  <si>
    <t xml:space="preserve">  level structural/historical features cannot reliably anticipate a genuine political</t>
  </si>
  <si>
    <t xml:space="preserve">  realignment, regardless of how sophisticated the statistical machinery is. Any</t>
  </si>
  <si>
    <t xml:space="preserve">  'prediction' of a new configuration should be read as a structural projection under a</t>
  </si>
  <si>
    <t xml:space="preserve">  stated assumption (e.g. 'if current alignment persists'), not a forecast.</t>
  </si>
  <si>
    <t xml:space="preserve">Continuous Vote-Share Model Comparison: MAE vs Naive Baseline</t>
  </si>
  <si>
    <t xml:space="preserve">Lower MAE is better. 'Naive baseline' = predict next election's vote share equals the previous election's (no swing assumed).</t>
  </si>
  <si>
    <t xml:space="preserve">Model</t>
  </si>
  <si>
    <t xml:space="preserve">Split</t>
  </si>
  <si>
    <t xml:space="preserve">MAE</t>
  </si>
  <si>
    <t xml:space="preserve">Naive Baseline MAE</t>
  </si>
  <si>
    <t xml:space="preserve">Beats Baseline?</t>
  </si>
  <si>
    <t xml:space="preserve">Hierarchical Bayes (MrP-style)</t>
  </si>
  <si>
    <t xml:space="preserve">Validation (2009)</t>
  </si>
  <si>
    <t xml:space="preserve">Yes</t>
  </si>
  <si>
    <t xml:space="preserve">Test (2014+2019)</t>
  </si>
  <si>
    <t xml:space="preserve">No -- naive baseline wins</t>
  </si>
  <si>
    <t xml:space="preserve">Dirichlet-Swing Matrix</t>
  </si>
  <si>
    <t xml:space="preserve">Validation (2009 from 2004)</t>
  </si>
  <si>
    <t xml:space="preserve">Test: 2014 from 2009</t>
  </si>
  <si>
    <t xml:space="preserve">Test: 2019 from 2014</t>
  </si>
  <si>
    <t xml:space="preserve">Test (pooled)</t>
  </si>
  <si>
    <t xml:space="preserve">For reference: the earlier discrete classifier (predicted win/lose label, not continuous share)</t>
  </si>
  <si>
    <t xml:space="preserve">Test Accuracy</t>
  </si>
  <si>
    <t xml:space="preserve">Majority-Class Baseline</t>
  </si>
  <si>
    <t xml:space="preserve">Logistic Regression</t>
  </si>
  <si>
    <t xml:space="preserve">Marginal</t>
  </si>
  <si>
    <t xml:space="preserve">Random Forest</t>
  </si>
  <si>
    <t xml:space="preserve">LightGBM</t>
  </si>
  <si>
    <t xml:space="preserve">Note: classifier 'beats baseline' marginally on accuracy, but this is a far weaker signal than it appears --</t>
  </si>
  <si>
    <t xml:space="preserve">a 3-class problem where ~33% is random chance and the model only reaches 21-29% means it is still nearly useless.</t>
  </si>
  <si>
    <t xml:space="preserve">Key takeaway</t>
  </si>
  <si>
    <t xml:space="preserve">Continuous vote-share models (both MrP-style hierarchical Bayes and Dirichlet-Swing)</t>
  </si>
  <si>
    <t xml:space="preserve">produce errors much closer to a trivial 'assume no change' baseline than the discrete</t>
  </si>
  <si>
    <t xml:space="preserve">classifier did to ITS baseline -- meaning continuous modeling degrades far more gracefully</t>
  </si>
  <si>
    <t xml:space="preserve">under a real political regime shift. Neither approach, however, actually BEATS the naive</t>
  </si>
  <si>
    <t xml:space="preserve">baseline on the genuine held-out test years (2014, 2019) -- the 2014 BJP wave was simply</t>
  </si>
  <si>
    <t xml:space="preserve">too large a shift for any model trained on pre-2014 data to anticipate, regardless of</t>
  </si>
  <si>
    <t xml:space="preserve">modeling sophistication. This is the honest answer to a genuinely hard problem.</t>
  </si>
  <si>
    <t xml:space="preserve">Dirichlet-Swing Matrix Model: Implementation Diagnostics</t>
  </si>
  <si>
    <t xml:space="preserve">Two real numerical bugs were found and fixed while implementing Mitra (2026)'s Dirichlet-Swing Matrix Model on real data.</t>
  </si>
  <si>
    <t xml:space="preserve">Bug 1: Naive digamma inversion overflow</t>
  </si>
  <si>
    <t xml:space="preserve">Minka's fixed-point MLE algorithm for Dirichlet parameters requires inverting the</t>
  </si>
  <si>
    <t xml:space="preserve">digamma function at each iteration. A naive Newton's-method implementation overflowed</t>
  </si>
  <si>
    <t xml:space="preserve">(np.exp() on large inputs) when the iteration entered a region with extreme parameter</t>
  </si>
  <si>
    <t xml:space="preserve">values. FIX: added input clipping and a large-y fallback branch to keep the Newton</t>
  </si>
  <si>
    <t xml:space="preserve">iteration numerically stable across its full operating range.</t>
  </si>
  <si>
    <t xml:space="preserve">Bug 2: Dirichlet MLE degeneracy on zero-inflated data (the deeper issue)</t>
  </si>
  <si>
    <t xml:space="preserve">After fixing Bug 1, the model still produced degenerate results: alpha parameters</t>
  </si>
  <si>
    <t xml:space="preserve">diverging to the numerical cap (500-10,000) in one dimension, collapsing the Dirichlet</t>
  </si>
  <si>
    <t xml:space="preserve">mean to a point mass [0,0,1] or [1,0,0]. Root cause: roughly 25% of 'Other'-origin</t>
  </si>
  <si>
    <t xml:space="preserve">constituencies have EXACTLY ZERO NDA vote share (no NDA-aligned candidate even</t>
  </si>
  <si>
    <t xml:space="preserve">contested) -- a real, valid feature of 1999-2004 Indian elections, not a data error.</t>
  </si>
  <si>
    <t xml:space="preserve">Maximum-likelihood Dirichlet fitting is mathematically known to be unstable on data</t>
  </si>
  <si>
    <t xml:space="preserve">with substantial exact-zero mass: the likelihood is genuinely maximized at the</t>
  </si>
  <si>
    <t xml:space="preserve">boundary (alpha -&gt; infinity), a well-documented pathology, not a coding error.</t>
  </si>
  <si>
    <t xml:space="preserve">FIX ATTEMPTED #1 (insufficient): added a small number of weak Dirichlet(1,1,1) pseudo-</t>
  </si>
  <si>
    <t xml:space="preserve">observations as regularization. With only 10 pseudo-observations against 90+ real,</t>
  </si>
  <si>
    <t xml:space="preserve">heavily-skewed observations, this was far too weak -- still collapsed to the boundary.</t>
  </si>
  <si>
    <t xml:space="preserve">FIX ATTEMPTED #2 (insufficient): scaled pseudo-observation count proportionally to</t>
  </si>
  <si>
    <t xml:space="preserve">subset size (50% of N). Still collapsed -- the real data's skew was severe enough</t>
  </si>
  <si>
    <t xml:space="preserve">that even 1/3 of the total weight as uniform pseudo-data could not pull it back.</t>
  </si>
  <si>
    <t xml:space="preserve">FINAL FIX (adopted): abandoned MLE in favor of METHOD-OF-MOMENTS Dirichlet estimation,</t>
  </si>
  <si>
    <t xml:space="preserve">which matches sample mean and variance directly rather than fitting log-likelihood</t>
  </si>
  <si>
    <t xml:space="preserve">gradients, and cannot diverge the same way. This produced a well-behaved, interpretable</t>
  </si>
  <si>
    <t xml:space="preserve">transition matrix (see below) with no further degeneracy.</t>
  </si>
  <si>
    <t xml:space="preserve">Final fitted swing matrix (Dirichlet mean transition probabilities, 1999-&gt;2004)</t>
  </si>
  <si>
    <t xml:space="preserve">From \ To</t>
  </si>
  <si>
    <t xml:space="preserve">To NDA</t>
  </si>
  <si>
    <t xml:space="preserve">To INDIA</t>
  </si>
  <si>
    <t xml:space="preserve">To Other</t>
  </si>
  <si>
    <t xml:space="preserve">From NDA</t>
  </si>
  <si>
    <t xml:space="preserve">From INDIA</t>
  </si>
  <si>
    <t xml:space="preserve">From Other</t>
  </si>
  <si>
    <t xml:space="preserve">Diagonal (same-bloc retention) values are highlighted: NDA-origin seats stay NDA-leaning</t>
  </si>
  <si>
    <t xml:space="preserve">45.8% of the time, INDIA-origin seats stay INDIA-leaning 53.2% of the time, Other-origin</t>
  </si>
  <si>
    <t xml:space="preserve">seats stay Other-leaning 50.4% of the time -- all plausible, non-degenerate incumbency-</t>
  </si>
  <si>
    <t xml:space="preserve">correlated persistence rates, confirming the final fix produced a sensible model.</t>
  </si>
  <si>
    <t xml:space="preserve">Hierarchical Bayesian Model: Credible Interval Calibration Check</t>
  </si>
  <si>
    <t xml:space="preserve">Tests whether the model's stated uncertainty (90% credible intervals) is honest -- whether ~90% of actual test outcomes fall inside the predicted interval.</t>
  </si>
  <si>
    <t xml:space="preserve">RESULT: 90% credible intervals achieved only 13.5% actual coverage on test</t>
  </si>
  <si>
    <t xml:space="preserve">(A well-calibrated model would show ~90%. 13.5% means the model is badly OVERCONFIDENT on test data.)</t>
  </si>
  <si>
    <t xml:space="preserve">Why this happened</t>
  </si>
  <si>
    <t xml:space="preserve">Mean NDA vote share genuinely shifted from 0.331 (1999-2004, train era) to 0.407</t>
  </si>
  <si>
    <t xml:space="preserve">(2014-2019, test era) -- a real national +7.6 percentage point swing. The model's</t>
  </si>
  <si>
    <t xml:space="preserve">alpha_national parameter was fit ONLY on train-era data, so its posterior is</t>
  </si>
  <si>
    <t xml:space="preserve">appropriately narrow for IN-REGIME prediction, but has zero information about a</t>
  </si>
  <si>
    <t xml:space="preserve">national-level shift occurring after the training window ends. This is not a bug in</t>
  </si>
  <si>
    <t xml:space="preserve">the model's math -- it is an honest, correct reflection of what the training data</t>
  </si>
  <si>
    <t xml:space="preserve">could possibly tell it. No amount of better MCMC sampling would fix this; only</t>
  </si>
  <si>
    <t xml:space="preserve">information about the FUTURE shift itself (e.g. contemporaneous polling) could.</t>
  </si>
  <si>
    <t xml:space="preserve">Sample of test-set predictions vs actuals (first 25 rows)</t>
  </si>
  <si>
    <t xml:space="preserve">State</t>
  </si>
  <si>
    <t xml:space="preserve">Year</t>
  </si>
  <si>
    <t xml:space="preserve">PC Name</t>
  </si>
  <si>
    <t xml:space="preserve">Predicted V_NDA</t>
  </si>
  <si>
    <t xml:space="preserve">90% CI Lower</t>
  </si>
  <si>
    <t xml:space="preserve">90% CI Upper</t>
  </si>
  <si>
    <t xml:space="preserve">Actual V_NDA</t>
  </si>
  <si>
    <t xml:space="preserve">Inside CI?</t>
  </si>
  <si>
    <t xml:space="preserve">Andaman_&amp;_Nicobar_Islands</t>
  </si>
  <si>
    <t xml:space="preserve">Andaman</t>
  </si>
  <si>
    <t xml:space="preserve">No</t>
  </si>
  <si>
    <t xml:space="preserve">Andaman &amp; Nicobar Islands</t>
  </si>
  <si>
    <t xml:space="preserve">Andhra_Pradesh</t>
  </si>
  <si>
    <t xml:space="preserve">Adilabad</t>
  </si>
  <si>
    <t xml:space="preserve">Aruku</t>
  </si>
  <si>
    <t xml:space="preserve">Peddapalle</t>
  </si>
  <si>
    <t xml:space="preserve">Srikakulam</t>
  </si>
  <si>
    <t xml:space="preserve">Karimnagar</t>
  </si>
  <si>
    <t xml:space="preserve">Vizianagaram</t>
  </si>
  <si>
    <t xml:space="preserve">Nizamabad</t>
  </si>
  <si>
    <t xml:space="preserve">Visakhapatnam</t>
  </si>
  <si>
    <t xml:space="preserve">Zahirabad</t>
  </si>
  <si>
    <t xml:space="preserve">Anakapalli</t>
  </si>
  <si>
    <t xml:space="preserve">Medak</t>
  </si>
  <si>
    <t xml:space="preserve">Kakinada</t>
  </si>
  <si>
    <t xml:space="preserve">Malkajgiri</t>
  </si>
  <si>
    <t xml:space="preserve">Amalapuram</t>
  </si>
  <si>
    <t xml:space="preserve">Secundrabad</t>
  </si>
  <si>
    <t xml:space="preserve">Rajahmundry</t>
  </si>
  <si>
    <t xml:space="preserve">Hyderabad</t>
  </si>
  <si>
    <t xml:space="preserve">Narsapuram</t>
  </si>
  <si>
    <t xml:space="preserve">CHELVELLA</t>
  </si>
  <si>
    <t xml:space="preserve">Eluru</t>
  </si>
  <si>
    <t xml:space="preserve">Mahbubnagar</t>
  </si>
  <si>
    <t xml:space="preserve">Machilipatnam</t>
  </si>
  <si>
    <t xml:space="preserve">Nagarkurnool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</si>
</sst>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MAE vs Naive Baseline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'Model Comparison'!C4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Comparison'!$B$5:$B$10</c:f>
              <c:strCache>
                <c:ptCount val="6"/>
                <c:pt idx="0">
                  <c:v>Validation (2009)</c:v>
                </c:pt>
                <c:pt idx="1">
                  <c:v>Test (2014+2019)</c:v>
                </c:pt>
                <c:pt idx="2">
                  <c:v>Validation (2009 from 2004)</c:v>
                </c:pt>
                <c:pt idx="3">
                  <c:v>Test: 2014 from 2009</c:v>
                </c:pt>
                <c:pt idx="4">
                  <c:v>Test: 2019 from 2014</c:v>
                </c:pt>
                <c:pt idx="5">
                  <c:v>Test (pooled)</c:v>
                </c:pt>
              </c:strCache>
            </c:strRef>
          </c:cat>
          <c:val>
            <c:numRef>
              <c:f>'Model Comparison'!$C$5:$C$10</c:f>
              <c:numCache>
                <c:formatCode>General</c:formatCode>
                <c:ptCount val="6"/>
                <c:pt idx="0">
                  <c:v>0.0995</c:v>
                </c:pt>
                <c:pt idx="1">
                  <c:v>0.1347</c:v>
                </c:pt>
                <c:pt idx="2">
                  <c:v>0.1475</c:v>
                </c:pt>
                <c:pt idx="3">
                  <c:v>0.1763</c:v>
                </c:pt>
                <c:pt idx="4">
                  <c:v>0.1334</c:v>
                </c:pt>
                <c:pt idx="5">
                  <c:v>0.1552</c:v>
                </c:pt>
              </c:numCache>
            </c:numRef>
          </c:val>
        </c:ser>
        <c:ser>
          <c:idx val="1"/>
          <c:order val="1"/>
          <c:tx>
            <c:strRef>
              <c:f>'Model Comparison'!D4</c:f>
              <c:strCache>
                <c:ptCount val="1"/>
                <c:pt idx="0">
                  <c:v>Naive Baseline MAE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Comparison'!$B$5:$B$10</c:f>
              <c:strCache>
                <c:ptCount val="6"/>
                <c:pt idx="0">
                  <c:v>Validation (2009)</c:v>
                </c:pt>
                <c:pt idx="1">
                  <c:v>Test (2014+2019)</c:v>
                </c:pt>
                <c:pt idx="2">
                  <c:v>Validation (2009 from 2004)</c:v>
                </c:pt>
                <c:pt idx="3">
                  <c:v>Test: 2014 from 2009</c:v>
                </c:pt>
                <c:pt idx="4">
                  <c:v>Test: 2019 from 2014</c:v>
                </c:pt>
                <c:pt idx="5">
                  <c:v>Test (pooled)</c:v>
                </c:pt>
              </c:strCache>
            </c:strRef>
          </c:cat>
          <c:val>
            <c:numRef>
              <c:f>'Model Comparison'!$D$5:$D$10</c:f>
              <c:numCache>
                <c:formatCode>General</c:formatCode>
                <c:ptCount val="6"/>
                <c:pt idx="0">
                  <c:v>0.1132</c:v>
                </c:pt>
                <c:pt idx="1">
                  <c:v>0.1198</c:v>
                </c:pt>
                <c:pt idx="2">
                  <c:v>0.1331</c:v>
                </c:pt>
                <c:pt idx="3">
                  <c:v>0.131</c:v>
                </c:pt>
                <c:pt idx="4">
                  <c:v>0.1209</c:v>
                </c:pt>
                <c:pt idx="5">
                  <c:v>0.1261</c:v>
                </c:pt>
              </c:numCache>
            </c:numRef>
          </c:val>
        </c:ser>
        <c:gapWidth val="150"/>
        <c:overlap val="0"/>
        <c:axId val="19645644"/>
        <c:axId val="94496105"/>
      </c:barChart>
      <c:catAx>
        <c:axId val="19645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96105"/>
        <c:crosses val="autoZero"/>
        <c:auto val="1"/>
        <c:lblAlgn val="ctr"/>
        <c:lblOffset val="100"/>
        <c:noMultiLvlLbl val="0"/>
      </c:catAx>
      <c:valAx>
        <c:axId val="94496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Absolute Error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45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160560</xdr:rowOff>
    </xdr:from>
    <xdr:to>
      <xdr:col>5</xdr:col>
      <xdr:colOff>166320</xdr:colOff>
      <xdr:row>49</xdr:row>
      <xdr:rowOff>140760</xdr:rowOff>
    </xdr:to>
    <xdr:graphicFrame>
      <xdr:nvGraphicFramePr>
        <xdr:cNvPr id="0" name="Chart 1"/>
        <xdr:cNvGraphicFramePr/>
      </xdr:nvGraphicFramePr>
      <xdr:xfrm>
        <a:off x="0" y="5905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 t="s">
        <v>31</v>
      </c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3" t="s">
        <v>35</v>
      </c>
    </row>
    <row r="44" customFormat="false" ht="15" hidden="false" customHeight="false" outlineLevel="0" collapsed="false">
      <c r="A44" s="3" t="s">
        <v>36</v>
      </c>
    </row>
    <row r="45" customFormat="false" ht="15" hidden="false" customHeight="false" outlineLevel="0" collapsed="false">
      <c r="A45" s="3" t="s">
        <v>37</v>
      </c>
    </row>
    <row r="46" customFormat="false" ht="15" hidden="false" customHeight="false" outlineLevel="0" collapsed="false">
      <c r="A46" s="3" t="s">
        <v>38</v>
      </c>
    </row>
    <row r="47" customFormat="false" ht="15" hidden="false" customHeight="false" outlineLevel="0" collapsed="false">
      <c r="A47" s="3" t="s">
        <v>39</v>
      </c>
    </row>
    <row r="48" customFormat="false" ht="15" hidden="false" customHeight="false" outlineLevel="0" collapsed="false">
      <c r="A48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5" t="s">
        <v>41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42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</row>
    <row r="5" customFormat="false" ht="15" hidden="false" customHeight="false" outlineLevel="0" collapsed="false">
      <c r="A5" s="8" t="s">
        <v>48</v>
      </c>
      <c r="B5" s="8" t="s">
        <v>49</v>
      </c>
      <c r="C5" s="9" t="n">
        <v>0.0995</v>
      </c>
      <c r="D5" s="8" t="n">
        <v>0.1132</v>
      </c>
      <c r="E5" s="10" t="s">
        <v>50</v>
      </c>
    </row>
    <row r="6" customFormat="false" ht="15" hidden="false" customHeight="false" outlineLevel="0" collapsed="false">
      <c r="A6" s="8" t="s">
        <v>48</v>
      </c>
      <c r="B6" s="8" t="s">
        <v>51</v>
      </c>
      <c r="C6" s="9" t="n">
        <v>0.1347</v>
      </c>
      <c r="D6" s="8" t="n">
        <v>0.1198</v>
      </c>
      <c r="E6" s="11" t="s">
        <v>52</v>
      </c>
    </row>
    <row r="7" customFormat="false" ht="15" hidden="false" customHeight="false" outlineLevel="0" collapsed="false">
      <c r="A7" s="8" t="s">
        <v>53</v>
      </c>
      <c r="B7" s="8" t="s">
        <v>54</v>
      </c>
      <c r="C7" s="9" t="n">
        <v>0.1475</v>
      </c>
      <c r="D7" s="8" t="n">
        <v>0.1331</v>
      </c>
      <c r="E7" s="11" t="s">
        <v>52</v>
      </c>
    </row>
    <row r="8" customFormat="false" ht="15" hidden="false" customHeight="false" outlineLevel="0" collapsed="false">
      <c r="A8" s="8" t="s">
        <v>53</v>
      </c>
      <c r="B8" s="8" t="s">
        <v>55</v>
      </c>
      <c r="C8" s="9" t="n">
        <v>0.1763</v>
      </c>
      <c r="D8" s="8" t="n">
        <v>0.131</v>
      </c>
      <c r="E8" s="11" t="s">
        <v>52</v>
      </c>
    </row>
    <row r="9" customFormat="false" ht="15" hidden="false" customHeight="false" outlineLevel="0" collapsed="false">
      <c r="A9" s="8" t="s">
        <v>53</v>
      </c>
      <c r="B9" s="8" t="s">
        <v>56</v>
      </c>
      <c r="C9" s="9" t="n">
        <v>0.1334</v>
      </c>
      <c r="D9" s="8" t="n">
        <v>0.1209</v>
      </c>
      <c r="E9" s="11" t="s">
        <v>52</v>
      </c>
    </row>
    <row r="10" customFormat="false" ht="15" hidden="false" customHeight="false" outlineLevel="0" collapsed="false">
      <c r="A10" s="8" t="s">
        <v>53</v>
      </c>
      <c r="B10" s="8" t="s">
        <v>57</v>
      </c>
      <c r="C10" s="9" t="n">
        <v>0.1552</v>
      </c>
      <c r="D10" s="8" t="n">
        <v>0.1261</v>
      </c>
      <c r="E10" s="11" t="s">
        <v>52</v>
      </c>
    </row>
    <row r="13" customFormat="false" ht="15" hidden="false" customHeight="false" outlineLevel="0" collapsed="false">
      <c r="A13" s="12" t="s">
        <v>58</v>
      </c>
    </row>
    <row r="14" customFormat="false" ht="15" hidden="false" customHeight="false" outlineLevel="0" collapsed="false">
      <c r="A14" s="7" t="s">
        <v>43</v>
      </c>
      <c r="B14" s="7" t="s">
        <v>59</v>
      </c>
      <c r="C14" s="7" t="s">
        <v>60</v>
      </c>
      <c r="D14" s="7" t="s">
        <v>47</v>
      </c>
    </row>
    <row r="15" customFormat="false" ht="15" hidden="false" customHeight="false" outlineLevel="0" collapsed="false">
      <c r="A15" s="8" t="s">
        <v>61</v>
      </c>
      <c r="B15" s="13" t="n">
        <v>0.21</v>
      </c>
      <c r="C15" s="13" t="n">
        <v>0.199</v>
      </c>
      <c r="D15" s="9" t="s">
        <v>62</v>
      </c>
    </row>
    <row r="16" customFormat="false" ht="15" hidden="false" customHeight="false" outlineLevel="0" collapsed="false">
      <c r="A16" s="8" t="s">
        <v>63</v>
      </c>
      <c r="B16" s="13" t="n">
        <v>0.225</v>
      </c>
      <c r="C16" s="13" t="n">
        <v>0.199</v>
      </c>
      <c r="D16" s="9" t="s">
        <v>62</v>
      </c>
    </row>
    <row r="17" customFormat="false" ht="15" hidden="false" customHeight="false" outlineLevel="0" collapsed="false">
      <c r="A17" s="8" t="s">
        <v>64</v>
      </c>
      <c r="B17" s="13" t="n">
        <v>0.293</v>
      </c>
      <c r="C17" s="13" t="n">
        <v>0.199</v>
      </c>
      <c r="D17" s="9" t="s">
        <v>62</v>
      </c>
    </row>
    <row r="19" customFormat="false" ht="15" hidden="false" customHeight="false" outlineLevel="0" collapsed="false">
      <c r="A19" s="14" t="s">
        <v>65</v>
      </c>
    </row>
    <row r="20" customFormat="false" ht="15" hidden="false" customHeight="false" outlineLevel="0" collapsed="false">
      <c r="A20" s="14" t="s">
        <v>66</v>
      </c>
    </row>
    <row r="22" customFormat="false" ht="15" hidden="false" customHeight="false" outlineLevel="0" collapsed="false">
      <c r="A22" s="12" t="s">
        <v>67</v>
      </c>
    </row>
    <row r="23" customFormat="false" ht="15" hidden="false" customHeight="false" outlineLevel="0" collapsed="false">
      <c r="A23" s="15" t="s">
        <v>68</v>
      </c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 t="s">
        <v>69</v>
      </c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5" t="s">
        <v>70</v>
      </c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5" t="s">
        <v>71</v>
      </c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 t="s">
        <v>72</v>
      </c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 t="s">
        <v>73</v>
      </c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 t="s">
        <v>74</v>
      </c>
      <c r="B29" s="15"/>
      <c r="C29" s="15"/>
      <c r="D29" s="15"/>
      <c r="E29" s="15"/>
      <c r="F29" s="15"/>
    </row>
  </sheetData>
  <mergeCells count="9">
    <mergeCell ref="A1:F1"/>
    <mergeCell ref="A2:F2"/>
    <mergeCell ref="A23:F23"/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6" min="5" style="0" width="4"/>
  </cols>
  <sheetData>
    <row r="1" customFormat="false" ht="17.35" hidden="false" customHeight="false" outlineLevel="0" collapsed="false">
      <c r="A1" s="5" t="s">
        <v>75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76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12" t="s">
        <v>77</v>
      </c>
    </row>
    <row r="5" customFormat="false" ht="15" hidden="false" customHeight="false" outlineLevel="0" collapsed="false">
      <c r="A5" s="15" t="s">
        <v>78</v>
      </c>
      <c r="B5" s="15"/>
      <c r="C5" s="15"/>
      <c r="D5" s="15"/>
      <c r="E5" s="15"/>
      <c r="F5" s="15"/>
    </row>
    <row r="6" customFormat="false" ht="15" hidden="false" customHeight="false" outlineLevel="0" collapsed="false">
      <c r="A6" s="15" t="s">
        <v>79</v>
      </c>
      <c r="B6" s="15"/>
      <c r="C6" s="15"/>
      <c r="D6" s="15"/>
      <c r="E6" s="15"/>
      <c r="F6" s="15"/>
    </row>
    <row r="7" customFormat="false" ht="15" hidden="false" customHeight="false" outlineLevel="0" collapsed="false">
      <c r="A7" s="15" t="s">
        <v>80</v>
      </c>
      <c r="B7" s="15"/>
      <c r="C7" s="15"/>
      <c r="D7" s="15"/>
      <c r="E7" s="15"/>
      <c r="F7" s="15"/>
    </row>
    <row r="8" customFormat="false" ht="15" hidden="false" customHeight="false" outlineLevel="0" collapsed="false">
      <c r="A8" s="15" t="s">
        <v>81</v>
      </c>
      <c r="B8" s="15"/>
      <c r="C8" s="15"/>
      <c r="D8" s="15"/>
      <c r="E8" s="15"/>
      <c r="F8" s="15"/>
    </row>
    <row r="9" customFormat="false" ht="15" hidden="false" customHeight="false" outlineLevel="0" collapsed="false">
      <c r="A9" s="15" t="s">
        <v>82</v>
      </c>
      <c r="B9" s="15"/>
      <c r="C9" s="15"/>
      <c r="D9" s="15"/>
      <c r="E9" s="15"/>
      <c r="F9" s="15"/>
    </row>
    <row r="11" customFormat="false" ht="15" hidden="false" customHeight="false" outlineLevel="0" collapsed="false">
      <c r="A11" s="12" t="s">
        <v>83</v>
      </c>
    </row>
    <row r="12" customFormat="false" ht="15" hidden="false" customHeight="false" outlineLevel="0" collapsed="false">
      <c r="A12" s="15" t="s">
        <v>84</v>
      </c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 t="s">
        <v>85</v>
      </c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 t="s">
        <v>86</v>
      </c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5" t="s">
        <v>87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 t="s">
        <v>88</v>
      </c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5" t="s">
        <v>89</v>
      </c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5" t="s">
        <v>90</v>
      </c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 t="s">
        <v>91</v>
      </c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6" t="s">
        <v>92</v>
      </c>
      <c r="B21" s="16"/>
      <c r="C21" s="16"/>
      <c r="D21" s="16"/>
      <c r="E21" s="16"/>
      <c r="F21" s="16"/>
    </row>
    <row r="22" customFormat="false" ht="15" hidden="false" customHeight="false" outlineLevel="0" collapsed="false">
      <c r="A22" s="15" t="s">
        <v>93</v>
      </c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 t="s">
        <v>94</v>
      </c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6" t="s">
        <v>95</v>
      </c>
      <c r="B25" s="16"/>
      <c r="C25" s="16"/>
      <c r="D25" s="16"/>
      <c r="E25" s="16"/>
      <c r="F25" s="16"/>
    </row>
    <row r="26" customFormat="false" ht="15" hidden="false" customHeight="false" outlineLevel="0" collapsed="false">
      <c r="A26" s="15" t="s">
        <v>96</v>
      </c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 t="s">
        <v>97</v>
      </c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6" t="s">
        <v>98</v>
      </c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5" t="s">
        <v>99</v>
      </c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5" t="s">
        <v>100</v>
      </c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15" t="s">
        <v>101</v>
      </c>
      <c r="B32" s="15"/>
      <c r="C32" s="15"/>
      <c r="D32" s="15"/>
      <c r="E32" s="15"/>
      <c r="F32" s="15"/>
    </row>
    <row r="34" customFormat="false" ht="15" hidden="false" customHeight="false" outlineLevel="0" collapsed="false">
      <c r="A34" s="12" t="s">
        <v>102</v>
      </c>
    </row>
    <row r="35" customFormat="false" ht="15" hidden="false" customHeight="false" outlineLevel="0" collapsed="false">
      <c r="A35" s="7" t="s">
        <v>103</v>
      </c>
      <c r="B35" s="7" t="s">
        <v>104</v>
      </c>
      <c r="C35" s="7" t="s">
        <v>105</v>
      </c>
      <c r="D35" s="7" t="s">
        <v>106</v>
      </c>
    </row>
    <row r="36" customFormat="false" ht="15" hidden="false" customHeight="false" outlineLevel="0" collapsed="false">
      <c r="A36" s="9" t="s">
        <v>107</v>
      </c>
      <c r="B36" s="17" t="n">
        <v>0.458</v>
      </c>
      <c r="C36" s="13" t="n">
        <v>0.406</v>
      </c>
      <c r="D36" s="13" t="n">
        <v>0.136</v>
      </c>
    </row>
    <row r="37" customFormat="false" ht="15" hidden="false" customHeight="false" outlineLevel="0" collapsed="false">
      <c r="A37" s="9" t="s">
        <v>108</v>
      </c>
      <c r="B37" s="13" t="n">
        <v>0.286</v>
      </c>
      <c r="C37" s="17" t="n">
        <v>0.532</v>
      </c>
      <c r="D37" s="13" t="n">
        <v>0.182</v>
      </c>
    </row>
    <row r="38" customFormat="false" ht="15" hidden="false" customHeight="false" outlineLevel="0" collapsed="false">
      <c r="A38" s="9" t="s">
        <v>109</v>
      </c>
      <c r="B38" s="13" t="n">
        <v>0.124</v>
      </c>
      <c r="C38" s="13" t="n">
        <v>0.371</v>
      </c>
      <c r="D38" s="17" t="n">
        <v>0.504</v>
      </c>
    </row>
    <row r="40" customFormat="false" ht="15" hidden="false" customHeight="false" outlineLevel="0" collapsed="false">
      <c r="A40" s="6" t="s">
        <v>110</v>
      </c>
      <c r="B40" s="6"/>
      <c r="C40" s="6"/>
      <c r="D40" s="6"/>
      <c r="E40" s="6"/>
      <c r="F40" s="6"/>
    </row>
    <row r="41" customFormat="false" ht="15" hidden="false" customHeight="false" outlineLevel="0" collapsed="false">
      <c r="A41" s="6" t="s">
        <v>111</v>
      </c>
      <c r="B41" s="6"/>
      <c r="C41" s="6"/>
      <c r="D41" s="6"/>
      <c r="E41" s="6"/>
      <c r="F41" s="6"/>
    </row>
    <row r="42" customFormat="false" ht="15" hidden="false" customHeight="false" outlineLevel="0" collapsed="false">
      <c r="A42" s="6" t="s">
        <v>112</v>
      </c>
      <c r="B42" s="6"/>
      <c r="C42" s="6"/>
      <c r="D42" s="6"/>
      <c r="E42" s="6"/>
      <c r="F42" s="6"/>
    </row>
    <row r="43" customFormat="false" ht="15" hidden="false" customHeight="false" outlineLevel="0" collapsed="false">
      <c r="A43" s="6" t="s">
        <v>113</v>
      </c>
      <c r="B43" s="6"/>
      <c r="C43" s="6"/>
      <c r="D43" s="6"/>
      <c r="E43" s="6"/>
      <c r="F43" s="6"/>
    </row>
  </sheetData>
  <mergeCells count="32">
    <mergeCell ref="A1:F1"/>
    <mergeCell ref="A2:F2"/>
    <mergeCell ref="A5:F5"/>
    <mergeCell ref="A6:F6"/>
    <mergeCell ref="A7:F7"/>
    <mergeCell ref="A8:F8"/>
    <mergeCell ref="A9:F9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5" t="s">
        <v>114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115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18" t="s">
        <v>116</v>
      </c>
      <c r="B4" s="18"/>
      <c r="C4" s="18"/>
      <c r="D4" s="18"/>
      <c r="E4" s="18"/>
      <c r="F4" s="18"/>
      <c r="G4" s="18"/>
      <c r="H4" s="18"/>
    </row>
    <row r="5" customFormat="false" ht="15" hidden="false" customHeight="false" outlineLevel="0" collapsed="false">
      <c r="A5" s="6" t="s">
        <v>117</v>
      </c>
      <c r="B5" s="6"/>
      <c r="C5" s="6"/>
      <c r="D5" s="6"/>
      <c r="E5" s="6"/>
      <c r="F5" s="6"/>
      <c r="G5" s="6"/>
      <c r="H5" s="6"/>
    </row>
    <row r="7" customFormat="false" ht="15" hidden="false" customHeight="false" outlineLevel="0" collapsed="false">
      <c r="A7" s="12" t="s">
        <v>118</v>
      </c>
    </row>
    <row r="8" customFormat="false" ht="15" hidden="false" customHeight="false" outlineLevel="0" collapsed="false">
      <c r="A8" s="15" t="s">
        <v>119</v>
      </c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15" t="s">
        <v>120</v>
      </c>
      <c r="B9" s="15"/>
      <c r="C9" s="15"/>
      <c r="D9" s="15"/>
      <c r="E9" s="15"/>
      <c r="F9" s="15"/>
      <c r="G9" s="15"/>
      <c r="H9" s="15"/>
    </row>
    <row r="10" customFormat="false" ht="15" hidden="false" customHeight="false" outlineLevel="0" collapsed="false">
      <c r="A10" s="15" t="s">
        <v>121</v>
      </c>
      <c r="B10" s="15"/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A11" s="15" t="s">
        <v>122</v>
      </c>
      <c r="B11" s="15"/>
      <c r="C11" s="15"/>
      <c r="D11" s="15"/>
      <c r="E11" s="15"/>
      <c r="F11" s="15"/>
      <c r="G11" s="15"/>
      <c r="H11" s="15"/>
    </row>
    <row r="12" customFormat="false" ht="15" hidden="false" customHeight="false" outlineLevel="0" collapsed="false">
      <c r="A12" s="15" t="s">
        <v>123</v>
      </c>
      <c r="B12" s="15"/>
      <c r="C12" s="15"/>
      <c r="D12" s="15"/>
      <c r="E12" s="15"/>
      <c r="F12" s="15"/>
      <c r="G12" s="15"/>
      <c r="H12" s="15"/>
    </row>
    <row r="13" customFormat="false" ht="15" hidden="false" customHeight="false" outlineLevel="0" collapsed="false">
      <c r="A13" s="15" t="s">
        <v>124</v>
      </c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A14" s="15" t="s">
        <v>125</v>
      </c>
      <c r="B14" s="15"/>
      <c r="C14" s="15"/>
      <c r="D14" s="15"/>
      <c r="E14" s="15"/>
      <c r="F14" s="15"/>
      <c r="G14" s="15"/>
      <c r="H14" s="15"/>
    </row>
    <row r="15" customFormat="false" ht="15" hidden="false" customHeight="false" outlineLevel="0" collapsed="false">
      <c r="A15" s="15" t="s">
        <v>126</v>
      </c>
      <c r="B15" s="15"/>
      <c r="C15" s="15"/>
      <c r="D15" s="15"/>
      <c r="E15" s="15"/>
      <c r="F15" s="15"/>
      <c r="G15" s="15"/>
      <c r="H15" s="15"/>
    </row>
    <row r="17" customFormat="false" ht="15" hidden="false" customHeight="false" outlineLevel="0" collapsed="false">
      <c r="A17" s="12" t="s">
        <v>127</v>
      </c>
    </row>
    <row r="18" customFormat="false" ht="23.85" hidden="false" customHeight="false" outlineLevel="0" collapsed="false">
      <c r="A18" s="19" t="s">
        <v>128</v>
      </c>
      <c r="B18" s="19" t="s">
        <v>129</v>
      </c>
      <c r="C18" s="19" t="s">
        <v>130</v>
      </c>
      <c r="D18" s="19" t="s">
        <v>131</v>
      </c>
      <c r="E18" s="19" t="s">
        <v>132</v>
      </c>
      <c r="F18" s="19" t="s">
        <v>133</v>
      </c>
      <c r="G18" s="19" t="s">
        <v>134</v>
      </c>
      <c r="H18" s="19" t="s">
        <v>135</v>
      </c>
    </row>
    <row r="19" customFormat="false" ht="15" hidden="false" customHeight="false" outlineLevel="0" collapsed="false">
      <c r="A19" s="8" t="s">
        <v>136</v>
      </c>
      <c r="B19" s="8" t="n">
        <v>2014</v>
      </c>
      <c r="C19" s="8" t="s">
        <v>137</v>
      </c>
      <c r="D19" s="8" t="n">
        <v>0.383</v>
      </c>
      <c r="E19" s="8" t="n">
        <v>0.347</v>
      </c>
      <c r="F19" s="8" t="n">
        <v>0.419</v>
      </c>
      <c r="G19" s="9" t="n">
        <v>0.482</v>
      </c>
      <c r="H19" s="11" t="s">
        <v>138</v>
      </c>
    </row>
    <row r="20" customFormat="false" ht="15" hidden="false" customHeight="false" outlineLevel="0" collapsed="false">
      <c r="A20" s="8" t="s">
        <v>136</v>
      </c>
      <c r="B20" s="8" t="n">
        <v>2019</v>
      </c>
      <c r="C20" s="8" t="s">
        <v>139</v>
      </c>
      <c r="D20" s="8" t="n">
        <v>0.405</v>
      </c>
      <c r="E20" s="8" t="n">
        <v>0.369</v>
      </c>
      <c r="F20" s="8" t="n">
        <v>0.442</v>
      </c>
      <c r="G20" s="9" t="n">
        <v>0.456</v>
      </c>
      <c r="H20" s="11" t="s">
        <v>138</v>
      </c>
    </row>
    <row r="21" customFormat="false" ht="15" hidden="false" customHeight="false" outlineLevel="0" collapsed="false">
      <c r="A21" s="8" t="s">
        <v>140</v>
      </c>
      <c r="B21" s="8" t="n">
        <v>2014</v>
      </c>
      <c r="C21" s="8" t="s">
        <v>141</v>
      </c>
      <c r="D21" s="8" t="n">
        <v>0.416</v>
      </c>
      <c r="E21" s="8" t="n">
        <v>0.392</v>
      </c>
      <c r="F21" s="8" t="n">
        <v>0.441</v>
      </c>
      <c r="G21" s="9" t="n">
        <v>0.179</v>
      </c>
      <c r="H21" s="11" t="s">
        <v>138</v>
      </c>
    </row>
    <row r="22" customFormat="false" ht="15" hidden="false" customHeight="false" outlineLevel="0" collapsed="false">
      <c r="A22" s="8" t="s">
        <v>140</v>
      </c>
      <c r="B22" s="8" t="n">
        <v>2019</v>
      </c>
      <c r="C22" s="8" t="s">
        <v>142</v>
      </c>
      <c r="D22" s="8" t="n">
        <v>0.241</v>
      </c>
      <c r="E22" s="8" t="n">
        <v>0.211</v>
      </c>
      <c r="F22" s="8" t="n">
        <v>0.27</v>
      </c>
      <c r="G22" s="9" t="n">
        <v>0.347</v>
      </c>
      <c r="H22" s="11" t="s">
        <v>138</v>
      </c>
    </row>
    <row r="23" customFormat="false" ht="15" hidden="false" customHeight="false" outlineLevel="0" collapsed="false">
      <c r="A23" s="8" t="s">
        <v>140</v>
      </c>
      <c r="B23" s="8" t="n">
        <v>2014</v>
      </c>
      <c r="C23" s="8" t="s">
        <v>143</v>
      </c>
      <c r="D23" s="8" t="n">
        <v>0.183</v>
      </c>
      <c r="E23" s="8" t="n">
        <v>0.15</v>
      </c>
      <c r="F23" s="8" t="n">
        <v>0.216</v>
      </c>
      <c r="G23" s="9" t="n">
        <v>0.062</v>
      </c>
      <c r="H23" s="11" t="s">
        <v>138</v>
      </c>
    </row>
    <row r="24" customFormat="false" ht="15" hidden="false" customHeight="false" outlineLevel="0" collapsed="false">
      <c r="A24" s="8" t="s">
        <v>140</v>
      </c>
      <c r="B24" s="8" t="n">
        <v>2019</v>
      </c>
      <c r="C24" s="8" t="s">
        <v>144</v>
      </c>
      <c r="D24" s="8" t="n">
        <v>0.176</v>
      </c>
      <c r="E24" s="8" t="n">
        <v>0.142</v>
      </c>
      <c r="F24" s="8" t="n">
        <v>0.209</v>
      </c>
      <c r="G24" s="9" t="n">
        <v>0.48</v>
      </c>
      <c r="H24" s="11" t="s">
        <v>138</v>
      </c>
    </row>
    <row r="25" customFormat="false" ht="15" hidden="false" customHeight="false" outlineLevel="0" collapsed="false">
      <c r="A25" s="8" t="s">
        <v>140</v>
      </c>
      <c r="B25" s="8" t="n">
        <v>2014</v>
      </c>
      <c r="C25" s="8" t="s">
        <v>145</v>
      </c>
      <c r="D25" s="8" t="n">
        <v>0.21</v>
      </c>
      <c r="E25" s="8" t="n">
        <v>0.178</v>
      </c>
      <c r="F25" s="8" t="n">
        <v>0.241</v>
      </c>
      <c r="G25" s="9" t="n">
        <v>0.192</v>
      </c>
      <c r="H25" s="9" t="s">
        <v>50</v>
      </c>
    </row>
    <row r="26" customFormat="false" ht="15" hidden="false" customHeight="false" outlineLevel="0" collapsed="false">
      <c r="A26" s="8" t="s">
        <v>140</v>
      </c>
      <c r="B26" s="8" t="n">
        <v>2019</v>
      </c>
      <c r="C26" s="8" t="s">
        <v>146</v>
      </c>
      <c r="D26" s="8" t="n">
        <v>0.248</v>
      </c>
      <c r="E26" s="8" t="n">
        <v>0.219</v>
      </c>
      <c r="F26" s="8" t="n">
        <v>0.276</v>
      </c>
      <c r="G26" s="9" t="n">
        <v>0.453</v>
      </c>
      <c r="H26" s="11" t="s">
        <v>138</v>
      </c>
    </row>
    <row r="27" customFormat="false" ht="15" hidden="false" customHeight="false" outlineLevel="0" collapsed="false">
      <c r="A27" s="8" t="s">
        <v>140</v>
      </c>
      <c r="B27" s="8" t="n">
        <v>2014</v>
      </c>
      <c r="C27" s="8" t="s">
        <v>147</v>
      </c>
      <c r="D27" s="8" t="n">
        <v>0.212</v>
      </c>
      <c r="E27" s="8" t="n">
        <v>0.181</v>
      </c>
      <c r="F27" s="8" t="n">
        <v>0.243</v>
      </c>
      <c r="G27" s="9" t="n">
        <v>0.219</v>
      </c>
      <c r="H27" s="9" t="s">
        <v>50</v>
      </c>
    </row>
    <row r="28" customFormat="false" ht="15" hidden="false" customHeight="false" outlineLevel="0" collapsed="false">
      <c r="A28" s="8" t="s">
        <v>140</v>
      </c>
      <c r="B28" s="8" t="n">
        <v>2019</v>
      </c>
      <c r="C28" s="8" t="s">
        <v>148</v>
      </c>
      <c r="D28" s="8" t="n">
        <v>0.262</v>
      </c>
      <c r="E28" s="8" t="n">
        <v>0.234</v>
      </c>
      <c r="F28" s="8" t="n">
        <v>0.291</v>
      </c>
      <c r="G28" s="9" t="n">
        <v>0.382</v>
      </c>
      <c r="H28" s="11" t="s">
        <v>138</v>
      </c>
    </row>
    <row r="29" customFormat="false" ht="15" hidden="false" customHeight="false" outlineLevel="0" collapsed="false">
      <c r="A29" s="8" t="s">
        <v>140</v>
      </c>
      <c r="B29" s="8" t="n">
        <v>2014</v>
      </c>
      <c r="C29" s="8" t="s">
        <v>149</v>
      </c>
      <c r="D29" s="8" t="n">
        <v>0.169</v>
      </c>
      <c r="E29" s="8" t="n">
        <v>0.135</v>
      </c>
      <c r="F29" s="8" t="n">
        <v>0.202</v>
      </c>
      <c r="G29" s="9" t="n">
        <v>0.145</v>
      </c>
      <c r="H29" s="9" t="s">
        <v>50</v>
      </c>
    </row>
    <row r="30" customFormat="false" ht="15" hidden="false" customHeight="false" outlineLevel="0" collapsed="false">
      <c r="A30" s="8" t="s">
        <v>140</v>
      </c>
      <c r="B30" s="8" t="n">
        <v>2019</v>
      </c>
      <c r="C30" s="8" t="s">
        <v>150</v>
      </c>
      <c r="D30" s="8" t="n">
        <v>0.222</v>
      </c>
      <c r="E30" s="8" t="n">
        <v>0.191</v>
      </c>
      <c r="F30" s="8" t="n">
        <v>0.252</v>
      </c>
      <c r="G30" s="9" t="n">
        <v>0.424</v>
      </c>
      <c r="H30" s="11" t="s">
        <v>138</v>
      </c>
    </row>
    <row r="31" customFormat="false" ht="15" hidden="false" customHeight="false" outlineLevel="0" collapsed="false">
      <c r="A31" s="8" t="s">
        <v>140</v>
      </c>
      <c r="B31" s="8" t="n">
        <v>2014</v>
      </c>
      <c r="C31" s="8" t="s">
        <v>151</v>
      </c>
      <c r="D31" s="8" t="n">
        <v>0.178</v>
      </c>
      <c r="E31" s="8" t="n">
        <v>0.144</v>
      </c>
      <c r="F31" s="8" t="n">
        <v>0.211</v>
      </c>
      <c r="G31" s="9" t="n">
        <v>0.154</v>
      </c>
      <c r="H31" s="9" t="s">
        <v>50</v>
      </c>
    </row>
    <row r="32" customFormat="false" ht="15" hidden="false" customHeight="false" outlineLevel="0" collapsed="false">
      <c r="A32" s="8" t="s">
        <v>140</v>
      </c>
      <c r="B32" s="8" t="n">
        <v>2019</v>
      </c>
      <c r="C32" s="8" t="s">
        <v>152</v>
      </c>
      <c r="D32" s="8" t="n">
        <v>0.227</v>
      </c>
      <c r="E32" s="8" t="n">
        <v>0.196</v>
      </c>
      <c r="F32" s="8" t="n">
        <v>0.257</v>
      </c>
      <c r="G32" s="9" t="n">
        <v>0.428</v>
      </c>
      <c r="H32" s="11" t="s">
        <v>138</v>
      </c>
    </row>
    <row r="33" customFormat="false" ht="15" hidden="false" customHeight="false" outlineLevel="0" collapsed="false">
      <c r="A33" s="8" t="s">
        <v>140</v>
      </c>
      <c r="B33" s="8" t="n">
        <v>2014</v>
      </c>
      <c r="C33" s="8" t="s">
        <v>153</v>
      </c>
      <c r="D33" s="8" t="n">
        <v>0.336</v>
      </c>
      <c r="E33" s="8" t="n">
        <v>0.311</v>
      </c>
      <c r="F33" s="8" t="n">
        <v>0.362</v>
      </c>
      <c r="G33" s="9" t="n">
        <v>0.326</v>
      </c>
      <c r="H33" s="9" t="s">
        <v>50</v>
      </c>
    </row>
    <row r="34" customFormat="false" ht="15" hidden="false" customHeight="false" outlineLevel="0" collapsed="false">
      <c r="A34" s="8" t="s">
        <v>140</v>
      </c>
      <c r="B34" s="8" t="n">
        <v>2019</v>
      </c>
      <c r="C34" s="8" t="s">
        <v>154</v>
      </c>
      <c r="D34" s="8" t="n">
        <v>0.321</v>
      </c>
      <c r="E34" s="8" t="n">
        <v>0.296</v>
      </c>
      <c r="F34" s="8" t="n">
        <v>0.348</v>
      </c>
      <c r="G34" s="9" t="n">
        <v>0.377</v>
      </c>
      <c r="H34" s="11" t="s">
        <v>138</v>
      </c>
    </row>
    <row r="35" customFormat="false" ht="15" hidden="false" customHeight="false" outlineLevel="0" collapsed="false">
      <c r="A35" s="8" t="s">
        <v>140</v>
      </c>
      <c r="B35" s="8" t="n">
        <v>2014</v>
      </c>
      <c r="C35" s="8" t="s">
        <v>155</v>
      </c>
      <c r="D35" s="8" t="n">
        <v>0.337</v>
      </c>
      <c r="E35" s="8" t="n">
        <v>0.312</v>
      </c>
      <c r="F35" s="8" t="n">
        <v>0.363</v>
      </c>
      <c r="G35" s="9" t="n">
        <v>0.439</v>
      </c>
      <c r="H35" s="11" t="s">
        <v>138</v>
      </c>
    </row>
    <row r="36" customFormat="false" ht="15" hidden="false" customHeight="false" outlineLevel="0" collapsed="false">
      <c r="A36" s="8" t="s">
        <v>140</v>
      </c>
      <c r="B36" s="8" t="n">
        <v>2019</v>
      </c>
      <c r="C36" s="8" t="s">
        <v>156</v>
      </c>
      <c r="D36" s="8" t="n">
        <v>0.384</v>
      </c>
      <c r="E36" s="8" t="n">
        <v>0.36</v>
      </c>
      <c r="F36" s="8" t="n">
        <v>0.409</v>
      </c>
      <c r="G36" s="9" t="n">
        <v>0.384</v>
      </c>
      <c r="H36" s="9" t="s">
        <v>50</v>
      </c>
    </row>
    <row r="37" customFormat="false" ht="15" hidden="false" customHeight="false" outlineLevel="0" collapsed="false">
      <c r="A37" s="8" t="s">
        <v>140</v>
      </c>
      <c r="B37" s="8" t="n">
        <v>2014</v>
      </c>
      <c r="C37" s="8" t="s">
        <v>157</v>
      </c>
      <c r="D37" s="8" t="n">
        <v>0.346</v>
      </c>
      <c r="E37" s="8" t="n">
        <v>0.322</v>
      </c>
      <c r="F37" s="8" t="n">
        <v>0.372</v>
      </c>
      <c r="G37" s="9" t="n">
        <v>0.322</v>
      </c>
      <c r="H37" s="9" t="s">
        <v>50</v>
      </c>
    </row>
    <row r="38" customFormat="false" ht="15" hidden="false" customHeight="false" outlineLevel="0" collapsed="false">
      <c r="A38" s="8" t="s">
        <v>140</v>
      </c>
      <c r="B38" s="8" t="n">
        <v>2019</v>
      </c>
      <c r="C38" s="8" t="s">
        <v>158</v>
      </c>
      <c r="D38" s="8" t="n">
        <v>0.319</v>
      </c>
      <c r="E38" s="8" t="n">
        <v>0.294</v>
      </c>
      <c r="F38" s="8" t="n">
        <v>0.346</v>
      </c>
      <c r="G38" s="9" t="n">
        <v>0.369</v>
      </c>
      <c r="H38" s="11" t="s">
        <v>138</v>
      </c>
    </row>
    <row r="39" customFormat="false" ht="15" hidden="false" customHeight="false" outlineLevel="0" collapsed="false">
      <c r="A39" s="8" t="s">
        <v>140</v>
      </c>
      <c r="B39" s="8" t="n">
        <v>2014</v>
      </c>
      <c r="C39" s="8" t="s">
        <v>159</v>
      </c>
      <c r="D39" s="8" t="n">
        <v>0.403</v>
      </c>
      <c r="E39" s="8" t="n">
        <v>0.379</v>
      </c>
      <c r="F39" s="8" t="n">
        <v>0.428</v>
      </c>
      <c r="G39" s="9" t="n">
        <v>0.271</v>
      </c>
      <c r="H39" s="11" t="s">
        <v>138</v>
      </c>
    </row>
    <row r="40" customFormat="false" ht="15" hidden="false" customHeight="false" outlineLevel="0" collapsed="false">
      <c r="A40" s="8" t="s">
        <v>140</v>
      </c>
      <c r="B40" s="8" t="n">
        <v>2019</v>
      </c>
      <c r="C40" s="8" t="s">
        <v>160</v>
      </c>
      <c r="D40" s="8" t="n">
        <v>0.291</v>
      </c>
      <c r="E40" s="8" t="n">
        <v>0.265</v>
      </c>
      <c r="F40" s="8" t="n">
        <v>0.318</v>
      </c>
      <c r="G40" s="9" t="n">
        <v>0.399</v>
      </c>
      <c r="H40" s="11" t="s">
        <v>138</v>
      </c>
    </row>
    <row r="41" customFormat="false" ht="15" hidden="false" customHeight="false" outlineLevel="0" collapsed="false">
      <c r="A41" s="8" t="s">
        <v>140</v>
      </c>
      <c r="B41" s="8" t="n">
        <v>2014</v>
      </c>
      <c r="C41" s="8" t="s">
        <v>161</v>
      </c>
      <c r="D41" s="8" t="n">
        <v>0.176</v>
      </c>
      <c r="E41" s="8" t="n">
        <v>0.142</v>
      </c>
      <c r="F41" s="8" t="n">
        <v>0.209</v>
      </c>
      <c r="G41" s="9" t="n">
        <v>0.27</v>
      </c>
      <c r="H41" s="11" t="s">
        <v>138</v>
      </c>
    </row>
    <row r="42" customFormat="false" ht="15" hidden="false" customHeight="false" outlineLevel="0" collapsed="false">
      <c r="A42" s="8" t="s">
        <v>140</v>
      </c>
      <c r="B42" s="8" t="n">
        <v>2019</v>
      </c>
      <c r="C42" s="8" t="s">
        <v>162</v>
      </c>
      <c r="D42" s="8" t="n">
        <v>0.291</v>
      </c>
      <c r="E42" s="8" t="n">
        <v>0.264</v>
      </c>
      <c r="F42" s="8" t="n">
        <v>0.318</v>
      </c>
      <c r="G42" s="9" t="n">
        <v>0.423</v>
      </c>
      <c r="H42" s="11" t="s">
        <v>138</v>
      </c>
    </row>
    <row r="43" customFormat="false" ht="15" hidden="false" customHeight="false" outlineLevel="0" collapsed="false">
      <c r="A43" s="8" t="s">
        <v>140</v>
      </c>
      <c r="B43" s="8" t="n">
        <v>2014</v>
      </c>
      <c r="C43" s="8" t="s">
        <v>163</v>
      </c>
      <c r="D43" s="8" t="n">
        <v>0.169</v>
      </c>
      <c r="E43" s="8" t="n">
        <v>0.134</v>
      </c>
      <c r="F43" s="8" t="n">
        <v>0.202</v>
      </c>
      <c r="G43" s="9" t="n">
        <v>0.167</v>
      </c>
      <c r="H43" s="9" t="s">
        <v>50</v>
      </c>
    </row>
  </sheetData>
  <mergeCells count="12">
    <mergeCell ref="A1:H1"/>
    <mergeCell ref="A2:H2"/>
    <mergeCell ref="A4:H4"/>
    <mergeCell ref="A5:H5"/>
    <mergeCell ref="A8:H8"/>
    <mergeCell ref="A9:H9"/>
    <mergeCell ref="A10:H10"/>
    <mergeCell ref="A11:H11"/>
    <mergeCell ref="A12:H12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2026-06-29T21:46:31Z</dcterms:created>
  <dc:creator>openpyxl</dc:creator>
  <dc:description/>
  <dc:language>en-US</dc:language>
  <cp:lastModifiedBy/>
  <dcterms:modified xsi:type="dcterms:W3CDTF">2026-06-29T21:52:31Z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