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tate-wise Detail" sheetId="2" state="visible" r:id="rId4"/>
    <sheet name="Policy &amp;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<sst xmlns="http://schemas.openxmlformats.org/spreadsheetml/2006/main" count="89" uniqueCount="83">
  <si>
    <t xml:space="preserve">Women &amp; Men in India's Legislatures vs. the 33% Reservation Goal</t>
  </si>
  <si>
    <t xml:space="preserve">Nari Shakti Vandan Adhiniyam (106th Constitutional Amendment, 2023) target: one-third of seats reserved for women in the Lok Sabha, all State Legislative Assemblies &amp; the Delhi Assembly.</t>
  </si>
  <si>
    <t xml:space="preserve">Tier / House</t>
  </si>
  <si>
    <t xml:space="preserve">Total seats</t>
  </si>
  <si>
    <t xml:space="preserve">Men</t>
  </si>
  <si>
    <t xml:space="preserve">Women</t>
  </si>
  <si>
    <t xml:space="preserve">Women %</t>
  </si>
  <si>
    <t xml:space="preserve">Seats @ 33%</t>
  </si>
  <si>
    <t xml:space="preserve">Shortfall to 33%</t>
  </si>
  <si>
    <t xml:space="preserve">CENTRE — Parliament</t>
  </si>
  <si>
    <t xml:space="preserve">Lok Sabha (18th, 2024)</t>
  </si>
  <si>
    <t xml:space="preserve">Rajya Sabha (2025)</t>
  </si>
  <si>
    <t xml:space="preserve">STATES &amp; UTs — Assemblies</t>
  </si>
  <si>
    <t xml:space="preserve">All State/UT Assemblies (30)</t>
  </si>
  <si>
    <t xml:space="preserve">ALL LEGISLATURES (Centre + States)</t>
  </si>
  <si>
    <t xml:space="preserve">Goal vs. reality</t>
  </si>
  <si>
    <t xml:space="preserve">•  Where the 33% quota will apply, women currently hold ~13.6% of the Lok Sabha and ~9% of state assembly seats — well under half the target.</t>
  </si>
  <si>
    <t xml:space="preserve">•  The quota does NOT cover the Rajya Sabha or state Legislative Councils.</t>
  </si>
  <si>
    <t xml:space="preserve">•  The law is passed but dormant: it takes effect only after the next census &amp; delimitation exercise.</t>
  </si>
  <si>
    <t xml:space="preserve">Sources: 18th Lok Sabha (ADR / Factly, 2024); Rajya Sabha (PIB, 2025); State assemblies (ADR affidavit compilation). See 'Policy &amp; Notes' sheet.</t>
  </si>
  <si>
    <t xml:space="preserve">Women &amp; Men — State/UT Legislative Assemblies (detailed)</t>
  </si>
  <si>
    <t xml:space="preserve">Ranked by women's share. Men = Total − Women (formula). Seats @ 33% = ROUNDUP(Total×33.33%).</t>
  </si>
  <si>
    <t xml:space="preserve">#</t>
  </si>
  <si>
    <t xml:space="preserve">State / UT Assembly</t>
  </si>
  <si>
    <t xml:space="preserve">Men %</t>
  </si>
  <si>
    <t xml:space="preserve">Bihar</t>
  </si>
  <si>
    <t xml:space="preserve">Rajasthan</t>
  </si>
  <si>
    <t xml:space="preserve">Sikkim</t>
  </si>
  <si>
    <t xml:space="preserve">West Bengal</t>
  </si>
  <si>
    <t xml:space="preserve">Andhra Pradesh</t>
  </si>
  <si>
    <t xml:space="preserve">Punjab</t>
  </si>
  <si>
    <t xml:space="preserve">Chhattisgarh</t>
  </si>
  <si>
    <t xml:space="preserve">Madhya Pradesh</t>
  </si>
  <si>
    <t xml:space="preserve">Assam</t>
  </si>
  <si>
    <t xml:space="preserve">Uttar Pradesh</t>
  </si>
  <si>
    <t xml:space="preserve">Jharkhand</t>
  </si>
  <si>
    <t xml:space="preserve">Haryana</t>
  </si>
  <si>
    <t xml:space="preserve">Gujarat</t>
  </si>
  <si>
    <t xml:space="preserve">Tamil Nadu</t>
  </si>
  <si>
    <t xml:space="preserve">Uttarakhand</t>
  </si>
  <si>
    <t xml:space="preserve">Himachal Pradesh</t>
  </si>
  <si>
    <t xml:space="preserve">Odisha</t>
  </si>
  <si>
    <t xml:space="preserve">Kerala</t>
  </si>
  <si>
    <t xml:space="preserve">Manipur</t>
  </si>
  <si>
    <t xml:space="preserve">Tripura</t>
  </si>
  <si>
    <t xml:space="preserve">NCT of Delhi</t>
  </si>
  <si>
    <t xml:space="preserve">Maharashtra</t>
  </si>
  <si>
    <t xml:space="preserve">Jammu &amp; Kashmir</t>
  </si>
  <si>
    <t xml:space="preserve">Meghalaya</t>
  </si>
  <si>
    <t xml:space="preserve">Goa</t>
  </si>
  <si>
    <t xml:space="preserve">Arunachal Pradesh</t>
  </si>
  <si>
    <t xml:space="preserve">Karnataka</t>
  </si>
  <si>
    <t xml:space="preserve">Nagaland</t>
  </si>
  <si>
    <t xml:space="preserve">Puducherry</t>
  </si>
  <si>
    <t xml:space="preserve">Mizoram</t>
  </si>
  <si>
    <t xml:space="preserve">ALL STATE/UT ASSEMBLIES</t>
  </si>
  <si>
    <t xml:space="preserve">Note: State assembly figures are an ADR compilation from candidate affidavits (Form 26, ECI), reflecting each state's most recent main election at time of compilation — India's assemblies are elected in staggered years, so a single snapshot is inherently mixed-vintage. ADR's 2026 update reports ~390 women across 4,123 MLA seats nationally (~9%), with UP (47), West Bengal (40), Bihar (29) &amp; Madhya Pradesh (27) holding the most women MLAs in absolute terms.</t>
  </si>
  <si>
    <t xml:space="preserve">The 33% Reservation Goal — What It Is &amp; What It Covers</t>
  </si>
  <si>
    <t xml:space="preserve">The policy</t>
  </si>
  <si>
    <t xml:space="preserve">•  Nari Shakti Vandan Adhiniyam — the Constitution (106th Amendment) Act, 2023.</t>
  </si>
  <si>
    <t xml:space="preserve">•  Rotationally reserves one-third (33%) of all seats for women, including seats reserved for SC/ST.</t>
  </si>
  <si>
    <t xml:space="preserve">•  First introduced as a bill in 1996; earlier versions lapsed repeatedly before passage in September 2023.</t>
  </si>
  <si>
    <t xml:space="preserve">What it covers</t>
  </si>
  <si>
    <t xml:space="preserve">•  Lok Sabha (lower house of Parliament).</t>
  </si>
  <si>
    <t xml:space="preserve">•  All State Legislative Assemblies.</t>
  </si>
  <si>
    <t xml:space="preserve">•  The Legislative Assembly of the National Capital Territory of Delhi.</t>
  </si>
  <si>
    <t xml:space="preserve">What it does NOT cover</t>
  </si>
  <si>
    <t xml:space="preserve">•  Rajya Sabha (upper house of Parliament) — no reservation.</t>
  </si>
  <si>
    <t xml:space="preserve">•  State Legislative Councils (6 states: UP, Maharashtra, Bihar, Karnataka, Telangana, Andhra Pradesh) — no reservation.</t>
  </si>
  <si>
    <t xml:space="preserve">The implementation gap</t>
  </si>
  <si>
    <t xml:space="preserve">•  The Act is passed but not yet in force.</t>
  </si>
  <si>
    <t xml:space="preserve">•  It takes effect only after the first census following the amendment, plus a delimitation exercise to identify which seats rotate to women.</t>
  </si>
  <si>
    <t xml:space="preserve">•  Reservation is set to run for 15 years, with reserved seats rotating each delimitation cycle.</t>
  </si>
  <si>
    <t xml:space="preserve">Context benchmarks</t>
  </si>
  <si>
    <t xml:space="preserve">•  Global average women in national parliaments: ~27% (IPU, 2025).</t>
  </si>
  <si>
    <t xml:space="preserve">•  India ranked ~143rd of 185 countries on women in the lower house before the 18th Lok Sabha.</t>
  </si>
  <si>
    <t xml:space="preserve">•  By contrast, ~46% of elected representatives in Panchayati Raj Institutions are women (33–50% local-body reservation).</t>
  </si>
  <si>
    <t xml:space="preserve">Sources</t>
  </si>
  <si>
    <t xml:space="preserve">•  18th Lok Sabha (74 women / 543): ADR &amp; Factly, June 2024.</t>
  </si>
  <si>
    <t xml:space="preserve">•  Rajya Sabha (~42 women, ~17%): PIB / Ministry of WCD, 2025.</t>
  </si>
  <si>
    <t xml:space="preserve">•  State assembly detail: ADR, 'Women Representation among Elected Representatives' (candidate affidavits, ECI Form 26).</t>
  </si>
  <si>
    <t xml:space="preserve">•  State aggregate update (390 / 4,123 MLAs): ADR 'Women's Political Participation &amp; Representation in India', 2026.</t>
  </si>
  <si>
    <t xml:space="preserve">•  Policy text: PRS Legislative Research; Constitution (106th Amendment) Act, 2023.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</si>
</sst>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560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B23B3B"/>
      <name val="Arial"/>
      <family val="0"/>
      <charset val="1"/>
    </font>
    <font>
      <b val="true"/>
      <sz val="11"/>
      <color rgb="FF8A5A00"/>
      <name val="Arial"/>
      <family val="0"/>
      <charset val="1"/>
    </font>
    <font>
      <i val="true"/>
      <sz val="8"/>
      <color rgb="FF8A94A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sz val="9"/>
      <color rgb="FFB23B3B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E7D6F"/>
        <bgColor rgb="FF008080"/>
      </patternFill>
    </fill>
    <fill>
      <patternFill patternType="solid">
        <fgColor rgb="FFFFFFFF"/>
        <bgColor rgb="FFF2F4F7"/>
      </patternFill>
    </fill>
    <fill>
      <patternFill patternType="solid">
        <fgColor rgb="FFF2F4F7"/>
        <bgColor rgb="FFFFFFFF"/>
      </patternFill>
    </fill>
    <fill>
      <patternFill patternType="solid">
        <fgColor rgb="FFFCE9C8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9E0"/>
      </left>
      <right style="thin">
        <color rgb="FFD5D9E0"/>
      </right>
      <top style="thin">
        <color rgb="FFD5D9E0"/>
      </top>
      <bottom style="thin">
        <color rgb="FFD5D9E0"/>
      </bottom>
      <diagonal/>
    </border>
    <border diagonalUp="false" diagonalDown="false">
      <left style="thin">
        <color rgb="FFD5D9E0"/>
      </left>
      <right/>
      <top style="thin">
        <color rgb="FFD5D9E0"/>
      </top>
      <bottom style="thin">
        <color rgb="FFD5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C0C0C0"/>
      <rgbColor rgb="FF808080"/>
      <rgbColor rgb="FF9999FF"/>
      <rgbColor rgb="FFB23B3B"/>
      <rgbColor rgb="FFFCE9C8"/>
      <rgbColor rgb="FFF2F4F7"/>
      <rgbColor rgb="FF660066"/>
      <rgbColor rgb="FFFF8080"/>
      <rgbColor rgb="FF0066CC"/>
      <rgbColor rgb="FFD5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6E"/>
      <rgbColor rgb="FF8A94A3"/>
      <rgbColor rgb="FF1F3A5F"/>
      <rgbColor rgb="FF2E7D6F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false" outlineLevel="0" collapsed="false">
      <c r="A5" s="5" t="s">
        <v>9</v>
      </c>
      <c r="B5" s="5"/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10</v>
      </c>
      <c r="B6" s="7" t="n">
        <v>543</v>
      </c>
      <c r="C6" s="7" t="n">
        <f aca="false">B6-D6</f>
        <v>469</v>
      </c>
      <c r="D6" s="7" t="n">
        <v>74</v>
      </c>
      <c r="E6" s="8" t="n">
        <f aca="false">D6/B6</f>
        <v>0.136279926335175</v>
      </c>
      <c r="F6" s="7" t="n">
        <f aca="false">ROUNDUP(B6*0.3333,0)</f>
        <v>181</v>
      </c>
      <c r="G6" s="9" t="n">
        <f aca="false">MAX(0,F6-D6)</f>
        <v>107</v>
      </c>
    </row>
    <row r="7" customFormat="false" ht="15" hidden="false" customHeight="false" outlineLevel="0" collapsed="false">
      <c r="A7" s="10" t="s">
        <v>11</v>
      </c>
      <c r="B7" s="11" t="n">
        <v>245</v>
      </c>
      <c r="C7" s="11" t="n">
        <f aca="false">B7-D7</f>
        <v>203</v>
      </c>
      <c r="D7" s="11" t="n">
        <v>42</v>
      </c>
      <c r="E7" s="12" t="n">
        <f aca="false">D7/B7</f>
        <v>0.171428571428571</v>
      </c>
      <c r="F7" s="11" t="n">
        <f aca="false">ROUNDUP(B7*0.3333,0)</f>
        <v>82</v>
      </c>
      <c r="G7" s="13" t="n">
        <f aca="false">MAX(0,F7-D7)</f>
        <v>40</v>
      </c>
    </row>
    <row r="8" customFormat="false" ht="15" hidden="false" customHeight="false" outlineLevel="0" collapsed="false">
      <c r="A8" s="5" t="s">
        <v>12</v>
      </c>
      <c r="B8" s="5"/>
      <c r="C8" s="5"/>
      <c r="D8" s="5"/>
      <c r="E8" s="5"/>
      <c r="F8" s="5"/>
      <c r="G8" s="5"/>
    </row>
    <row r="9" customFormat="false" ht="15" hidden="false" customHeight="false" outlineLevel="0" collapsed="false">
      <c r="A9" s="10" t="s">
        <v>13</v>
      </c>
      <c r="B9" s="11" t="n">
        <f aca="false">'State-wise Detail'!C34</f>
        <v>4120</v>
      </c>
      <c r="C9" s="11" t="n">
        <f aca="false">B9-D9</f>
        <v>3786</v>
      </c>
      <c r="D9" s="11" t="n">
        <f aca="false">'State-wise Detail'!E34</f>
        <v>334</v>
      </c>
      <c r="E9" s="12" t="n">
        <f aca="false">D9/B9</f>
        <v>0.0810679611650485</v>
      </c>
      <c r="F9" s="11" t="n">
        <f aca="false">ROUNDUP(B9*0.3333,0)</f>
        <v>1374</v>
      </c>
      <c r="G9" s="13" t="n">
        <f aca="false">MAX(0,F9-D9)</f>
        <v>1040</v>
      </c>
    </row>
    <row r="10" customFormat="false" ht="15" hidden="false" customHeight="false" outlineLevel="0" collapsed="false">
      <c r="A10" s="14" t="s">
        <v>14</v>
      </c>
      <c r="B10" s="15" t="n">
        <f aca="false">B6+B7+B9</f>
        <v>4908</v>
      </c>
      <c r="C10" s="15" t="n">
        <f aca="false">B10-D10</f>
        <v>4458</v>
      </c>
      <c r="D10" s="15" t="n">
        <f aca="false">D6+D7+D9</f>
        <v>450</v>
      </c>
      <c r="E10" s="16" t="n">
        <f aca="false">D10/B10</f>
        <v>0.0916870415647922</v>
      </c>
      <c r="F10" s="15" t="n">
        <f aca="false">ROUNDUP(B10*0.3333,0)</f>
        <v>1636</v>
      </c>
      <c r="G10" s="15" t="n">
        <f aca="false">MAX(0,F10-D10)</f>
        <v>1186</v>
      </c>
    </row>
    <row r="12" customFormat="false" ht="15" hidden="false" customHeight="false" outlineLevel="0" collapsed="false">
      <c r="A12" s="17" t="s">
        <v>15</v>
      </c>
      <c r="B12" s="17"/>
      <c r="C12" s="17"/>
      <c r="D12" s="17"/>
      <c r="E12" s="17"/>
      <c r="F12" s="17"/>
      <c r="G12" s="17"/>
    </row>
    <row r="13" customFormat="false" ht="25.5" hidden="false" customHeight="true" outlineLevel="0" collapsed="false">
      <c r="A13" s="2" t="s">
        <v>16</v>
      </c>
      <c r="B13" s="2"/>
      <c r="C13" s="2"/>
      <c r="D13" s="2"/>
      <c r="E13" s="2"/>
      <c r="F13" s="2"/>
      <c r="G13" s="2"/>
    </row>
    <row r="14" customFormat="false" ht="25.5" hidden="false" customHeight="true" outlineLevel="0" collapsed="false">
      <c r="A14" s="2" t="s">
        <v>17</v>
      </c>
      <c r="B14" s="2"/>
      <c r="C14" s="2"/>
      <c r="D14" s="2"/>
      <c r="E14" s="2"/>
      <c r="F14" s="2"/>
      <c r="G14" s="2"/>
    </row>
    <row r="15" customFormat="false" ht="25.5" hidden="false" customHeight="true" outlineLevel="0" collapsed="false">
      <c r="A15" s="2" t="s">
        <v>18</v>
      </c>
      <c r="B15" s="2"/>
      <c r="C15" s="2"/>
      <c r="D15" s="2"/>
      <c r="E15" s="2"/>
      <c r="F15" s="2"/>
      <c r="G15" s="2"/>
    </row>
    <row r="17" customFormat="false" ht="15" hidden="false" customHeight="false" outlineLevel="0" collapsed="false">
      <c r="A17" s="18" t="s">
        <v>19</v>
      </c>
      <c r="B17" s="18"/>
      <c r="C17" s="18"/>
      <c r="D17" s="18"/>
      <c r="E17" s="18"/>
      <c r="F17" s="18"/>
      <c r="G17" s="18"/>
    </row>
  </sheetData>
  <mergeCells count="9">
    <mergeCell ref="A1:G1"/>
    <mergeCell ref="A2:G2"/>
    <mergeCell ref="A5:G5"/>
    <mergeCell ref="A8:G8"/>
    <mergeCell ref="A12:G12"/>
    <mergeCell ref="A13:G13"/>
    <mergeCell ref="A14:G14"/>
    <mergeCell ref="A15:G15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7" min="4" style="0" width="11"/>
    <col collapsed="false" customWidth="true" hidden="false" outlineLevel="0" max="9" min="8" style="0" width="14"/>
  </cols>
  <sheetData>
    <row r="1" customFormat="false" ht="24" hidden="false" customHeight="true" outlineLevel="0" collapsed="false">
      <c r="A1" s="19" t="s">
        <v>20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false" outlineLevel="0" collapsed="false">
      <c r="A2" s="20" t="s">
        <v>21</v>
      </c>
      <c r="B2" s="20"/>
      <c r="C2" s="20"/>
      <c r="D2" s="20"/>
      <c r="E2" s="20"/>
      <c r="F2" s="20"/>
      <c r="G2" s="20"/>
      <c r="H2" s="20"/>
      <c r="I2" s="20"/>
    </row>
    <row r="3" customFormat="false" ht="30" hidden="false" customHeight="true" outlineLevel="0" collapsed="false">
      <c r="A3" s="21" t="s">
        <v>22</v>
      </c>
      <c r="B3" s="22" t="s">
        <v>23</v>
      </c>
      <c r="C3" s="21" t="s">
        <v>3</v>
      </c>
      <c r="D3" s="21" t="s">
        <v>4</v>
      </c>
      <c r="E3" s="21" t="s">
        <v>5</v>
      </c>
      <c r="F3" s="21" t="s">
        <v>24</v>
      </c>
      <c r="G3" s="21" t="s">
        <v>6</v>
      </c>
      <c r="H3" s="21" t="s">
        <v>7</v>
      </c>
      <c r="I3" s="21" t="s">
        <v>8</v>
      </c>
    </row>
    <row r="4" customFormat="false" ht="15" hidden="false" customHeight="false" outlineLevel="0" collapsed="false">
      <c r="A4" s="23" t="n">
        <v>1</v>
      </c>
      <c r="B4" s="24" t="s">
        <v>25</v>
      </c>
      <c r="C4" s="23" t="n">
        <v>243</v>
      </c>
      <c r="D4" s="23" t="n">
        <f aca="false">C4-E4</f>
        <v>209</v>
      </c>
      <c r="E4" s="23" t="n">
        <v>34</v>
      </c>
      <c r="F4" s="25" t="n">
        <f aca="false">D4/C4</f>
        <v>0.860082304526749</v>
      </c>
      <c r="G4" s="25" t="n">
        <f aca="false">E4/C4</f>
        <v>0.139917695473251</v>
      </c>
      <c r="H4" s="23" t="n">
        <f aca="false">ROUNDUP(C4*0.3333,0)</f>
        <v>81</v>
      </c>
      <c r="I4" s="26" t="n">
        <f aca="false">MAX(0,H4-E4)</f>
        <v>47</v>
      </c>
    </row>
    <row r="5" customFormat="false" ht="15" hidden="false" customHeight="false" outlineLevel="0" collapsed="false">
      <c r="A5" s="27" t="n">
        <v>2</v>
      </c>
      <c r="B5" s="28" t="s">
        <v>26</v>
      </c>
      <c r="C5" s="27" t="n">
        <v>200</v>
      </c>
      <c r="D5" s="27" t="n">
        <f aca="false">C5-E5</f>
        <v>172</v>
      </c>
      <c r="E5" s="27" t="n">
        <v>28</v>
      </c>
      <c r="F5" s="29" t="n">
        <f aca="false">D5/C5</f>
        <v>0.86</v>
      </c>
      <c r="G5" s="29" t="n">
        <f aca="false">E5/C5</f>
        <v>0.14</v>
      </c>
      <c r="H5" s="27" t="n">
        <f aca="false">ROUNDUP(C5*0.3333,0)</f>
        <v>67</v>
      </c>
      <c r="I5" s="30" t="n">
        <f aca="false">MAX(0,H5-E5)</f>
        <v>39</v>
      </c>
    </row>
    <row r="6" customFormat="false" ht="15" hidden="false" customHeight="false" outlineLevel="0" collapsed="false">
      <c r="A6" s="23" t="n">
        <v>3</v>
      </c>
      <c r="B6" s="24" t="s">
        <v>27</v>
      </c>
      <c r="C6" s="23" t="n">
        <v>32</v>
      </c>
      <c r="D6" s="23" t="n">
        <f aca="false">C6-E6</f>
        <v>28</v>
      </c>
      <c r="E6" s="23" t="n">
        <v>4</v>
      </c>
      <c r="F6" s="25" t="n">
        <f aca="false">D6/C6</f>
        <v>0.875</v>
      </c>
      <c r="G6" s="25" t="n">
        <f aca="false">E6/C6</f>
        <v>0.125</v>
      </c>
      <c r="H6" s="23" t="n">
        <f aca="false">ROUNDUP(C6*0.3333,0)</f>
        <v>11</v>
      </c>
      <c r="I6" s="26" t="n">
        <f aca="false">MAX(0,H6-E6)</f>
        <v>7</v>
      </c>
    </row>
    <row r="7" customFormat="false" ht="15" hidden="false" customHeight="false" outlineLevel="0" collapsed="false">
      <c r="A7" s="27" t="n">
        <v>4</v>
      </c>
      <c r="B7" s="28" t="s">
        <v>28</v>
      </c>
      <c r="C7" s="27" t="n">
        <v>294</v>
      </c>
      <c r="D7" s="27" t="n">
        <f aca="false">C7-E7</f>
        <v>260</v>
      </c>
      <c r="E7" s="27" t="n">
        <v>34</v>
      </c>
      <c r="F7" s="29" t="n">
        <f aca="false">D7/C7</f>
        <v>0.884353741496599</v>
      </c>
      <c r="G7" s="29" t="n">
        <f aca="false">E7/C7</f>
        <v>0.115646258503401</v>
      </c>
      <c r="H7" s="27" t="n">
        <f aca="false">ROUNDUP(C7*0.3333,0)</f>
        <v>98</v>
      </c>
      <c r="I7" s="30" t="n">
        <f aca="false">MAX(0,H7-E7)</f>
        <v>64</v>
      </c>
    </row>
    <row r="8" customFormat="false" ht="15" hidden="false" customHeight="false" outlineLevel="0" collapsed="false">
      <c r="A8" s="23" t="n">
        <v>5</v>
      </c>
      <c r="B8" s="24" t="s">
        <v>29</v>
      </c>
      <c r="C8" s="23" t="n">
        <v>294</v>
      </c>
      <c r="D8" s="23" t="n">
        <f aca="false">C8-E8</f>
        <v>260</v>
      </c>
      <c r="E8" s="23" t="n">
        <v>34</v>
      </c>
      <c r="F8" s="25" t="n">
        <f aca="false">D8/C8</f>
        <v>0.884353741496599</v>
      </c>
      <c r="G8" s="25" t="n">
        <f aca="false">E8/C8</f>
        <v>0.115646258503401</v>
      </c>
      <c r="H8" s="23" t="n">
        <f aca="false">ROUNDUP(C8*0.3333,0)</f>
        <v>98</v>
      </c>
      <c r="I8" s="26" t="n">
        <f aca="false">MAX(0,H8-E8)</f>
        <v>64</v>
      </c>
    </row>
    <row r="9" customFormat="false" ht="15" hidden="false" customHeight="false" outlineLevel="0" collapsed="false">
      <c r="A9" s="27" t="n">
        <v>6</v>
      </c>
      <c r="B9" s="28" t="s">
        <v>30</v>
      </c>
      <c r="C9" s="27" t="n">
        <v>117</v>
      </c>
      <c r="D9" s="27" t="n">
        <f aca="false">C9-E9</f>
        <v>103</v>
      </c>
      <c r="E9" s="27" t="n">
        <v>14</v>
      </c>
      <c r="F9" s="29" t="n">
        <f aca="false">D9/C9</f>
        <v>0.88034188034188</v>
      </c>
      <c r="G9" s="29" t="n">
        <f aca="false">E9/C9</f>
        <v>0.11965811965812</v>
      </c>
      <c r="H9" s="27" t="n">
        <f aca="false">ROUNDUP(C9*0.3333,0)</f>
        <v>39</v>
      </c>
      <c r="I9" s="30" t="n">
        <f aca="false">MAX(0,H9-E9)</f>
        <v>25</v>
      </c>
    </row>
    <row r="10" customFormat="false" ht="15" hidden="false" customHeight="false" outlineLevel="0" collapsed="false">
      <c r="A10" s="23" t="n">
        <v>7</v>
      </c>
      <c r="B10" s="24" t="s">
        <v>31</v>
      </c>
      <c r="C10" s="23" t="n">
        <v>90</v>
      </c>
      <c r="D10" s="23" t="n">
        <f aca="false">C10-E10</f>
        <v>79</v>
      </c>
      <c r="E10" s="23" t="n">
        <v>11</v>
      </c>
      <c r="F10" s="25" t="n">
        <f aca="false">D10/C10</f>
        <v>0.877777777777778</v>
      </c>
      <c r="G10" s="25" t="n">
        <f aca="false">E10/C10</f>
        <v>0.122222222222222</v>
      </c>
      <c r="H10" s="23" t="n">
        <f aca="false">ROUNDUP(C10*0.3333,0)</f>
        <v>30</v>
      </c>
      <c r="I10" s="26" t="n">
        <f aca="false">MAX(0,H10-E10)</f>
        <v>19</v>
      </c>
    </row>
    <row r="11" customFormat="false" ht="15" hidden="false" customHeight="false" outlineLevel="0" collapsed="false">
      <c r="A11" s="27" t="n">
        <v>8</v>
      </c>
      <c r="B11" s="28" t="s">
        <v>32</v>
      </c>
      <c r="C11" s="27" t="n">
        <v>230</v>
      </c>
      <c r="D11" s="27" t="n">
        <f aca="false">C11-E11</f>
        <v>205</v>
      </c>
      <c r="E11" s="27" t="n">
        <v>25</v>
      </c>
      <c r="F11" s="29" t="n">
        <f aca="false">D11/C11</f>
        <v>0.891304347826087</v>
      </c>
      <c r="G11" s="29" t="n">
        <f aca="false">E11/C11</f>
        <v>0.108695652173913</v>
      </c>
      <c r="H11" s="27" t="n">
        <f aca="false">ROUNDUP(C11*0.3333,0)</f>
        <v>77</v>
      </c>
      <c r="I11" s="30" t="n">
        <f aca="false">MAX(0,H11-E11)</f>
        <v>52</v>
      </c>
    </row>
    <row r="12" customFormat="false" ht="15" hidden="false" customHeight="false" outlineLevel="0" collapsed="false">
      <c r="A12" s="23" t="n">
        <v>9</v>
      </c>
      <c r="B12" s="24" t="s">
        <v>33</v>
      </c>
      <c r="C12" s="23" t="n">
        <v>126</v>
      </c>
      <c r="D12" s="23" t="n">
        <f aca="false">C12-E12</f>
        <v>112</v>
      </c>
      <c r="E12" s="23" t="n">
        <v>14</v>
      </c>
      <c r="F12" s="25" t="n">
        <f aca="false">D12/C12</f>
        <v>0.888888888888889</v>
      </c>
      <c r="G12" s="25" t="n">
        <f aca="false">E12/C12</f>
        <v>0.111111111111111</v>
      </c>
      <c r="H12" s="23" t="n">
        <f aca="false">ROUNDUP(C12*0.3333,0)</f>
        <v>42</v>
      </c>
      <c r="I12" s="26" t="n">
        <f aca="false">MAX(0,H12-E12)</f>
        <v>28</v>
      </c>
    </row>
    <row r="13" customFormat="false" ht="15" hidden="false" customHeight="false" outlineLevel="0" collapsed="false">
      <c r="A13" s="27" t="n">
        <v>10</v>
      </c>
      <c r="B13" s="28" t="s">
        <v>34</v>
      </c>
      <c r="C13" s="27" t="n">
        <v>403</v>
      </c>
      <c r="D13" s="27" t="n">
        <f aca="false">C13-E13</f>
        <v>371</v>
      </c>
      <c r="E13" s="27" t="n">
        <v>32</v>
      </c>
      <c r="F13" s="29" t="n">
        <f aca="false">D13/C13</f>
        <v>0.920595533498759</v>
      </c>
      <c r="G13" s="29" t="n">
        <f aca="false">E13/C13</f>
        <v>0.0794044665012407</v>
      </c>
      <c r="H13" s="27" t="n">
        <f aca="false">ROUNDUP(C13*0.3333,0)</f>
        <v>135</v>
      </c>
      <c r="I13" s="30" t="n">
        <f aca="false">MAX(0,H13-E13)</f>
        <v>103</v>
      </c>
    </row>
    <row r="14" customFormat="false" ht="15" hidden="false" customHeight="false" outlineLevel="0" collapsed="false">
      <c r="A14" s="23" t="n">
        <v>11</v>
      </c>
      <c r="B14" s="24" t="s">
        <v>35</v>
      </c>
      <c r="C14" s="23" t="n">
        <v>81</v>
      </c>
      <c r="D14" s="23" t="n">
        <f aca="false">C14-E14</f>
        <v>73</v>
      </c>
      <c r="E14" s="23" t="n">
        <v>8</v>
      </c>
      <c r="F14" s="25" t="n">
        <f aca="false">D14/C14</f>
        <v>0.901234567901235</v>
      </c>
      <c r="G14" s="25" t="n">
        <f aca="false">E14/C14</f>
        <v>0.0987654320987654</v>
      </c>
      <c r="H14" s="23" t="n">
        <f aca="false">ROUNDUP(C14*0.3333,0)</f>
        <v>27</v>
      </c>
      <c r="I14" s="26" t="n">
        <f aca="false">MAX(0,H14-E14)</f>
        <v>19</v>
      </c>
    </row>
    <row r="15" customFormat="false" ht="15" hidden="false" customHeight="false" outlineLevel="0" collapsed="false">
      <c r="A15" s="27" t="n">
        <v>12</v>
      </c>
      <c r="B15" s="28" t="s">
        <v>36</v>
      </c>
      <c r="C15" s="27" t="n">
        <v>90</v>
      </c>
      <c r="D15" s="27" t="n">
        <f aca="false">C15-E15</f>
        <v>81</v>
      </c>
      <c r="E15" s="27" t="n">
        <v>9</v>
      </c>
      <c r="F15" s="29" t="n">
        <f aca="false">D15/C15</f>
        <v>0.9</v>
      </c>
      <c r="G15" s="29" t="n">
        <f aca="false">E15/C15</f>
        <v>0.1</v>
      </c>
      <c r="H15" s="27" t="n">
        <f aca="false">ROUNDUP(C15*0.3333,0)</f>
        <v>30</v>
      </c>
      <c r="I15" s="30" t="n">
        <f aca="false">MAX(0,H15-E15)</f>
        <v>21</v>
      </c>
    </row>
    <row r="16" customFormat="false" ht="15" hidden="false" customHeight="false" outlineLevel="0" collapsed="false">
      <c r="A16" s="23" t="n">
        <v>13</v>
      </c>
      <c r="B16" s="24" t="s">
        <v>37</v>
      </c>
      <c r="C16" s="23" t="n">
        <v>182</v>
      </c>
      <c r="D16" s="23" t="n">
        <f aca="false">C16-E16</f>
        <v>166</v>
      </c>
      <c r="E16" s="23" t="n">
        <v>16</v>
      </c>
      <c r="F16" s="25" t="n">
        <f aca="false">D16/C16</f>
        <v>0.912087912087912</v>
      </c>
      <c r="G16" s="25" t="n">
        <f aca="false">E16/C16</f>
        <v>0.0879120879120879</v>
      </c>
      <c r="H16" s="23" t="n">
        <f aca="false">ROUNDUP(C16*0.3333,0)</f>
        <v>61</v>
      </c>
      <c r="I16" s="26" t="n">
        <f aca="false">MAX(0,H16-E16)</f>
        <v>45</v>
      </c>
    </row>
    <row r="17" customFormat="false" ht="15" hidden="false" customHeight="false" outlineLevel="0" collapsed="false">
      <c r="A17" s="27" t="n">
        <v>14</v>
      </c>
      <c r="B17" s="28" t="s">
        <v>38</v>
      </c>
      <c r="C17" s="27" t="n">
        <v>234</v>
      </c>
      <c r="D17" s="27" t="n">
        <f aca="false">C17-E17</f>
        <v>217</v>
      </c>
      <c r="E17" s="27" t="n">
        <v>17</v>
      </c>
      <c r="F17" s="29" t="n">
        <f aca="false">D17/C17</f>
        <v>0.927350427350427</v>
      </c>
      <c r="G17" s="29" t="n">
        <f aca="false">E17/C17</f>
        <v>0.0726495726495727</v>
      </c>
      <c r="H17" s="27" t="n">
        <f aca="false">ROUNDUP(C17*0.3333,0)</f>
        <v>78</v>
      </c>
      <c r="I17" s="30" t="n">
        <f aca="false">MAX(0,H17-E17)</f>
        <v>61</v>
      </c>
    </row>
    <row r="18" customFormat="false" ht="15" hidden="false" customHeight="false" outlineLevel="0" collapsed="false">
      <c r="A18" s="23" t="n">
        <v>15</v>
      </c>
      <c r="B18" s="24" t="s">
        <v>39</v>
      </c>
      <c r="C18" s="23" t="n">
        <v>70</v>
      </c>
      <c r="D18" s="23" t="n">
        <f aca="false">C18-E18</f>
        <v>65</v>
      </c>
      <c r="E18" s="23" t="n">
        <v>5</v>
      </c>
      <c r="F18" s="25" t="n">
        <f aca="false">D18/C18</f>
        <v>0.928571428571429</v>
      </c>
      <c r="G18" s="25" t="n">
        <f aca="false">E18/C18</f>
        <v>0.0714285714285714</v>
      </c>
      <c r="H18" s="23" t="n">
        <f aca="false">ROUNDUP(C18*0.3333,0)</f>
        <v>24</v>
      </c>
      <c r="I18" s="26" t="n">
        <f aca="false">MAX(0,H18-E18)</f>
        <v>19</v>
      </c>
    </row>
    <row r="19" customFormat="false" ht="15" hidden="false" customHeight="false" outlineLevel="0" collapsed="false">
      <c r="A19" s="27" t="n">
        <v>16</v>
      </c>
      <c r="B19" s="28" t="s">
        <v>40</v>
      </c>
      <c r="C19" s="27" t="n">
        <v>68</v>
      </c>
      <c r="D19" s="27" t="n">
        <f aca="false">C19-E19</f>
        <v>63</v>
      </c>
      <c r="E19" s="27" t="n">
        <v>5</v>
      </c>
      <c r="F19" s="29" t="n">
        <f aca="false">D19/C19</f>
        <v>0.926470588235294</v>
      </c>
      <c r="G19" s="29" t="n">
        <f aca="false">E19/C19</f>
        <v>0.0735294117647059</v>
      </c>
      <c r="H19" s="27" t="n">
        <f aca="false">ROUNDUP(C19*0.3333,0)</f>
        <v>23</v>
      </c>
      <c r="I19" s="30" t="n">
        <f aca="false">MAX(0,H19-E19)</f>
        <v>18</v>
      </c>
    </row>
    <row r="20" customFormat="false" ht="15" hidden="false" customHeight="false" outlineLevel="0" collapsed="false">
      <c r="A20" s="23" t="n">
        <v>17</v>
      </c>
      <c r="B20" s="24" t="s">
        <v>41</v>
      </c>
      <c r="C20" s="23" t="n">
        <v>147</v>
      </c>
      <c r="D20" s="23" t="n">
        <f aca="false">C20-E20</f>
        <v>140</v>
      </c>
      <c r="E20" s="23" t="n">
        <v>7</v>
      </c>
      <c r="F20" s="25" t="n">
        <f aca="false">D20/C20</f>
        <v>0.952380952380952</v>
      </c>
      <c r="G20" s="25" t="n">
        <f aca="false">E20/C20</f>
        <v>0.0476190476190476</v>
      </c>
      <c r="H20" s="23" t="n">
        <f aca="false">ROUNDUP(C20*0.3333,0)</f>
        <v>49</v>
      </c>
      <c r="I20" s="26" t="n">
        <f aca="false">MAX(0,H20-E20)</f>
        <v>42</v>
      </c>
    </row>
    <row r="21" customFormat="false" ht="15" hidden="false" customHeight="false" outlineLevel="0" collapsed="false">
      <c r="A21" s="27" t="n">
        <v>18</v>
      </c>
      <c r="B21" s="28" t="s">
        <v>42</v>
      </c>
      <c r="C21" s="27" t="n">
        <v>140</v>
      </c>
      <c r="D21" s="27" t="n">
        <f aca="false">C21-E21</f>
        <v>133</v>
      </c>
      <c r="E21" s="27" t="n">
        <v>7</v>
      </c>
      <c r="F21" s="29" t="n">
        <f aca="false">D21/C21</f>
        <v>0.95</v>
      </c>
      <c r="G21" s="29" t="n">
        <f aca="false">E21/C21</f>
        <v>0.05</v>
      </c>
      <c r="H21" s="27" t="n">
        <f aca="false">ROUNDUP(C21*0.3333,0)</f>
        <v>47</v>
      </c>
      <c r="I21" s="30" t="n">
        <f aca="false">MAX(0,H21-E21)</f>
        <v>40</v>
      </c>
    </row>
    <row r="22" customFormat="false" ht="15" hidden="false" customHeight="false" outlineLevel="0" collapsed="false">
      <c r="A22" s="23" t="n">
        <v>19</v>
      </c>
      <c r="B22" s="24" t="s">
        <v>43</v>
      </c>
      <c r="C22" s="23" t="n">
        <v>60</v>
      </c>
      <c r="D22" s="23" t="n">
        <f aca="false">C22-E22</f>
        <v>57</v>
      </c>
      <c r="E22" s="23" t="n">
        <v>3</v>
      </c>
      <c r="F22" s="25" t="n">
        <f aca="false">D22/C22</f>
        <v>0.95</v>
      </c>
      <c r="G22" s="25" t="n">
        <f aca="false">E22/C22</f>
        <v>0.05</v>
      </c>
      <c r="H22" s="23" t="n">
        <f aca="false">ROUNDUP(C22*0.3333,0)</f>
        <v>20</v>
      </c>
      <c r="I22" s="26" t="n">
        <f aca="false">MAX(0,H22-E22)</f>
        <v>17</v>
      </c>
    </row>
    <row r="23" customFormat="false" ht="15" hidden="false" customHeight="false" outlineLevel="0" collapsed="false">
      <c r="A23" s="27" t="n">
        <v>20</v>
      </c>
      <c r="B23" s="28" t="s">
        <v>44</v>
      </c>
      <c r="C23" s="27" t="n">
        <v>60</v>
      </c>
      <c r="D23" s="27" t="n">
        <f aca="false">C23-E23</f>
        <v>57</v>
      </c>
      <c r="E23" s="27" t="n">
        <v>3</v>
      </c>
      <c r="F23" s="29" t="n">
        <f aca="false">D23/C23</f>
        <v>0.95</v>
      </c>
      <c r="G23" s="29" t="n">
        <f aca="false">E23/C23</f>
        <v>0.05</v>
      </c>
      <c r="H23" s="27" t="n">
        <f aca="false">ROUNDUP(C23*0.3333,0)</f>
        <v>20</v>
      </c>
      <c r="I23" s="30" t="n">
        <f aca="false">MAX(0,H23-E23)</f>
        <v>17</v>
      </c>
    </row>
    <row r="24" customFormat="false" ht="15" hidden="false" customHeight="false" outlineLevel="0" collapsed="false">
      <c r="A24" s="23" t="n">
        <v>21</v>
      </c>
      <c r="B24" s="24" t="s">
        <v>45</v>
      </c>
      <c r="C24" s="23" t="n">
        <v>70</v>
      </c>
      <c r="D24" s="23" t="n">
        <f aca="false">C24-E24</f>
        <v>67</v>
      </c>
      <c r="E24" s="23" t="n">
        <v>3</v>
      </c>
      <c r="F24" s="25" t="n">
        <f aca="false">D24/C24</f>
        <v>0.957142857142857</v>
      </c>
      <c r="G24" s="25" t="n">
        <f aca="false">E24/C24</f>
        <v>0.0428571428571429</v>
      </c>
      <c r="H24" s="23" t="n">
        <f aca="false">ROUNDUP(C24*0.3333,0)</f>
        <v>24</v>
      </c>
      <c r="I24" s="26" t="n">
        <f aca="false">MAX(0,H24-E24)</f>
        <v>21</v>
      </c>
    </row>
    <row r="25" customFormat="false" ht="15" hidden="false" customHeight="false" outlineLevel="0" collapsed="false">
      <c r="A25" s="27" t="n">
        <v>22</v>
      </c>
      <c r="B25" s="28" t="s">
        <v>46</v>
      </c>
      <c r="C25" s="27" t="n">
        <v>288</v>
      </c>
      <c r="D25" s="27" t="n">
        <f aca="false">C25-E25</f>
        <v>277</v>
      </c>
      <c r="E25" s="27" t="n">
        <v>11</v>
      </c>
      <c r="F25" s="29" t="n">
        <f aca="false">D25/C25</f>
        <v>0.961805555555556</v>
      </c>
      <c r="G25" s="29" t="n">
        <f aca="false">E25/C25</f>
        <v>0.0381944444444445</v>
      </c>
      <c r="H25" s="27" t="n">
        <f aca="false">ROUNDUP(C25*0.3333,0)</f>
        <v>96</v>
      </c>
      <c r="I25" s="30" t="n">
        <f aca="false">MAX(0,H25-E25)</f>
        <v>85</v>
      </c>
    </row>
    <row r="26" customFormat="false" ht="15" hidden="false" customHeight="false" outlineLevel="0" collapsed="false">
      <c r="A26" s="23" t="n">
        <v>23</v>
      </c>
      <c r="B26" s="24" t="s">
        <v>47</v>
      </c>
      <c r="C26" s="23" t="n">
        <v>87</v>
      </c>
      <c r="D26" s="23" t="n">
        <f aca="false">C26-E26</f>
        <v>84</v>
      </c>
      <c r="E26" s="23" t="n">
        <v>3</v>
      </c>
      <c r="F26" s="25" t="n">
        <f aca="false">D26/C26</f>
        <v>0.96551724137931</v>
      </c>
      <c r="G26" s="25" t="n">
        <f aca="false">E26/C26</f>
        <v>0.0344827586206897</v>
      </c>
      <c r="H26" s="23" t="n">
        <f aca="false">ROUNDUP(C26*0.3333,0)</f>
        <v>29</v>
      </c>
      <c r="I26" s="26" t="n">
        <f aca="false">MAX(0,H26-E26)</f>
        <v>26</v>
      </c>
    </row>
    <row r="27" customFormat="false" ht="15" hidden="false" customHeight="false" outlineLevel="0" collapsed="false">
      <c r="A27" s="27" t="n">
        <v>24</v>
      </c>
      <c r="B27" s="28" t="s">
        <v>48</v>
      </c>
      <c r="C27" s="27" t="n">
        <v>60</v>
      </c>
      <c r="D27" s="27" t="n">
        <f aca="false">C27-E27</f>
        <v>59</v>
      </c>
      <c r="E27" s="27" t="n">
        <v>1</v>
      </c>
      <c r="F27" s="29" t="n">
        <f aca="false">D27/C27</f>
        <v>0.983333333333333</v>
      </c>
      <c r="G27" s="29" t="n">
        <f aca="false">E27/C27</f>
        <v>0.0166666666666667</v>
      </c>
      <c r="H27" s="27" t="n">
        <f aca="false">ROUNDUP(C27*0.3333,0)</f>
        <v>20</v>
      </c>
      <c r="I27" s="30" t="n">
        <f aca="false">MAX(0,H27-E27)</f>
        <v>19</v>
      </c>
    </row>
    <row r="28" customFormat="false" ht="15" hidden="false" customHeight="false" outlineLevel="0" collapsed="false">
      <c r="A28" s="23" t="n">
        <v>25</v>
      </c>
      <c r="B28" s="24" t="s">
        <v>49</v>
      </c>
      <c r="C28" s="23" t="n">
        <v>40</v>
      </c>
      <c r="D28" s="23" t="n">
        <f aca="false">C28-E28</f>
        <v>39</v>
      </c>
      <c r="E28" s="23" t="n">
        <v>1</v>
      </c>
      <c r="F28" s="25" t="n">
        <f aca="false">D28/C28</f>
        <v>0.975</v>
      </c>
      <c r="G28" s="25" t="n">
        <f aca="false">E28/C28</f>
        <v>0.025</v>
      </c>
      <c r="H28" s="23" t="n">
        <f aca="false">ROUNDUP(C28*0.3333,0)</f>
        <v>14</v>
      </c>
      <c r="I28" s="26" t="n">
        <f aca="false">MAX(0,H28-E28)</f>
        <v>13</v>
      </c>
    </row>
    <row r="29" customFormat="false" ht="15" hidden="false" customHeight="false" outlineLevel="0" collapsed="false">
      <c r="A29" s="27" t="n">
        <v>26</v>
      </c>
      <c r="B29" s="28" t="s">
        <v>50</v>
      </c>
      <c r="C29" s="27" t="n">
        <v>60</v>
      </c>
      <c r="D29" s="27" t="n">
        <f aca="false">C29-E29</f>
        <v>58</v>
      </c>
      <c r="E29" s="27" t="n">
        <v>2</v>
      </c>
      <c r="F29" s="29" t="n">
        <f aca="false">D29/C29</f>
        <v>0.966666666666667</v>
      </c>
      <c r="G29" s="29" t="n">
        <f aca="false">E29/C29</f>
        <v>0.0333333333333333</v>
      </c>
      <c r="H29" s="27" t="n">
        <f aca="false">ROUNDUP(C29*0.3333,0)</f>
        <v>20</v>
      </c>
      <c r="I29" s="30" t="n">
        <f aca="false">MAX(0,H29-E29)</f>
        <v>18</v>
      </c>
    </row>
    <row r="30" customFormat="false" ht="15" hidden="false" customHeight="false" outlineLevel="0" collapsed="false">
      <c r="A30" s="23" t="n">
        <v>27</v>
      </c>
      <c r="B30" s="24" t="s">
        <v>51</v>
      </c>
      <c r="C30" s="23" t="n">
        <v>224</v>
      </c>
      <c r="D30" s="23" t="n">
        <f aca="false">C30-E30</f>
        <v>221</v>
      </c>
      <c r="E30" s="23" t="n">
        <v>3</v>
      </c>
      <c r="F30" s="25" t="n">
        <f aca="false">D30/C30</f>
        <v>0.986607142857143</v>
      </c>
      <c r="G30" s="25" t="n">
        <f aca="false">E30/C30</f>
        <v>0.0133928571428571</v>
      </c>
      <c r="H30" s="23" t="n">
        <f aca="false">ROUNDUP(C30*0.3333,0)</f>
        <v>75</v>
      </c>
      <c r="I30" s="26" t="n">
        <f aca="false">MAX(0,H30-E30)</f>
        <v>72</v>
      </c>
    </row>
    <row r="31" customFormat="false" ht="15" hidden="false" customHeight="false" outlineLevel="0" collapsed="false">
      <c r="A31" s="27" t="n">
        <v>28</v>
      </c>
      <c r="B31" s="28" t="s">
        <v>52</v>
      </c>
      <c r="C31" s="27" t="n">
        <v>60</v>
      </c>
      <c r="D31" s="27" t="n">
        <f aca="false">C31-E31</f>
        <v>60</v>
      </c>
      <c r="E31" s="27" t="n">
        <v>0</v>
      </c>
      <c r="F31" s="29" t="n">
        <f aca="false">D31/C31</f>
        <v>1</v>
      </c>
      <c r="G31" s="29" t="n">
        <f aca="false">E31/C31</f>
        <v>0</v>
      </c>
      <c r="H31" s="27" t="n">
        <f aca="false">ROUNDUP(C31*0.3333,0)</f>
        <v>20</v>
      </c>
      <c r="I31" s="30" t="n">
        <f aca="false">MAX(0,H31-E31)</f>
        <v>20</v>
      </c>
    </row>
    <row r="32" customFormat="false" ht="15" hidden="false" customHeight="false" outlineLevel="0" collapsed="false">
      <c r="A32" s="23" t="n">
        <v>29</v>
      </c>
      <c r="B32" s="24" t="s">
        <v>53</v>
      </c>
      <c r="C32" s="23" t="n">
        <v>30</v>
      </c>
      <c r="D32" s="23" t="n">
        <f aca="false">C32-E32</f>
        <v>30</v>
      </c>
      <c r="E32" s="23" t="n">
        <v>0</v>
      </c>
      <c r="F32" s="25" t="n">
        <f aca="false">D32/C32</f>
        <v>1</v>
      </c>
      <c r="G32" s="25" t="n">
        <f aca="false">E32/C32</f>
        <v>0</v>
      </c>
      <c r="H32" s="23" t="n">
        <f aca="false">ROUNDUP(C32*0.3333,0)</f>
        <v>10</v>
      </c>
      <c r="I32" s="26" t="n">
        <f aca="false">MAX(0,H32-E32)</f>
        <v>10</v>
      </c>
    </row>
    <row r="33" customFormat="false" ht="15" hidden="false" customHeight="false" outlineLevel="0" collapsed="false">
      <c r="A33" s="27" t="n">
        <v>30</v>
      </c>
      <c r="B33" s="28" t="s">
        <v>54</v>
      </c>
      <c r="C33" s="27" t="n">
        <v>40</v>
      </c>
      <c r="D33" s="27" t="n">
        <f aca="false">C33-E33</f>
        <v>40</v>
      </c>
      <c r="E33" s="27" t="n">
        <v>0</v>
      </c>
      <c r="F33" s="29" t="n">
        <f aca="false">D33/C33</f>
        <v>1</v>
      </c>
      <c r="G33" s="29" t="n">
        <f aca="false">E33/C33</f>
        <v>0</v>
      </c>
      <c r="H33" s="27" t="n">
        <f aca="false">ROUNDUP(C33*0.3333,0)</f>
        <v>14</v>
      </c>
      <c r="I33" s="30" t="n">
        <f aca="false">MAX(0,H33-E33)</f>
        <v>14</v>
      </c>
    </row>
    <row r="34" customFormat="false" ht="15" hidden="false" customHeight="false" outlineLevel="0" collapsed="false">
      <c r="A34" s="31"/>
      <c r="B34" s="32" t="s">
        <v>55</v>
      </c>
      <c r="C34" s="31" t="n">
        <f aca="false">SUM(C4:C33)</f>
        <v>4120</v>
      </c>
      <c r="D34" s="31" t="n">
        <f aca="false">C34-E34</f>
        <v>3786</v>
      </c>
      <c r="E34" s="31" t="n">
        <f aca="false">SUM(E4:E33)</f>
        <v>334</v>
      </c>
      <c r="F34" s="33" t="n">
        <f aca="false">D34/C34</f>
        <v>0.918932038834951</v>
      </c>
      <c r="G34" s="33" t="n">
        <f aca="false">E34/C34</f>
        <v>0.0810679611650485</v>
      </c>
      <c r="H34" s="31" t="n">
        <f aca="false">ROUNDUP(C34*0.3333,0)</f>
        <v>1374</v>
      </c>
      <c r="I34" s="31" t="n">
        <f aca="false">MAX(0,H34-E34)</f>
        <v>1040</v>
      </c>
    </row>
    <row r="36" customFormat="false" ht="15" hidden="false" customHeight="true" outlineLevel="0" collapsed="false">
      <c r="A36" s="34" t="s">
        <v>56</v>
      </c>
      <c r="B36" s="34"/>
      <c r="C36" s="34"/>
      <c r="D36" s="34"/>
      <c r="E36" s="34"/>
      <c r="F36" s="34"/>
      <c r="G36" s="34"/>
      <c r="H36" s="34"/>
      <c r="I36" s="34"/>
    </row>
    <row r="37" customFormat="false" ht="15" hidden="false" customHeight="false" outlineLevel="0" collapsed="false">
      <c r="A37" s="34"/>
      <c r="B37" s="34"/>
      <c r="C37" s="34"/>
      <c r="D37" s="34"/>
      <c r="E37" s="34"/>
      <c r="F37" s="34"/>
      <c r="G37" s="34"/>
      <c r="H37" s="34"/>
      <c r="I37" s="34"/>
    </row>
    <row r="38" customFormat="false" ht="15" hidden="false" customHeight="false" outlineLevel="0" collapsed="false">
      <c r="A38" s="34"/>
      <c r="B38" s="34"/>
      <c r="C38" s="34"/>
      <c r="D38" s="34"/>
      <c r="E38" s="34"/>
      <c r="F38" s="34"/>
      <c r="G38" s="34"/>
      <c r="H38" s="34"/>
      <c r="I38" s="34"/>
    </row>
  </sheetData>
  <mergeCells count="3">
    <mergeCell ref="A1:I1"/>
    <mergeCell ref="A2:I2"/>
    <mergeCell ref="A36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4" hidden="false" customHeight="true" outlineLevel="0" collapsed="false">
      <c r="B1" s="35" t="s">
        <v>57</v>
      </c>
    </row>
    <row r="3" customFormat="false" ht="19.5" hidden="false" customHeight="true" outlineLevel="0" collapsed="false">
      <c r="B3" s="36" t="s">
        <v>58</v>
      </c>
    </row>
    <row r="4" customFormat="false" ht="15" hidden="false" customHeight="true" outlineLevel="0" collapsed="false">
      <c r="B4" s="37" t="s">
        <v>59</v>
      </c>
    </row>
    <row r="5" customFormat="false" ht="30" hidden="false" customHeight="true" outlineLevel="0" collapsed="false">
      <c r="B5" s="37" t="s">
        <v>60</v>
      </c>
    </row>
    <row r="6" customFormat="false" ht="30" hidden="false" customHeight="true" outlineLevel="0" collapsed="false">
      <c r="B6" s="37" t="s">
        <v>61</v>
      </c>
    </row>
    <row r="8" customFormat="false" ht="19.5" hidden="false" customHeight="true" outlineLevel="0" collapsed="false">
      <c r="B8" s="36" t="s">
        <v>62</v>
      </c>
    </row>
    <row r="9" customFormat="false" ht="15" hidden="false" customHeight="true" outlineLevel="0" collapsed="false">
      <c r="B9" s="37" t="s">
        <v>63</v>
      </c>
    </row>
    <row r="10" customFormat="false" ht="15" hidden="false" customHeight="true" outlineLevel="0" collapsed="false">
      <c r="B10" s="37" t="s">
        <v>64</v>
      </c>
    </row>
    <row r="11" customFormat="false" ht="15" hidden="false" customHeight="true" outlineLevel="0" collapsed="false">
      <c r="B11" s="37" t="s">
        <v>65</v>
      </c>
    </row>
    <row r="13" customFormat="false" ht="19.5" hidden="false" customHeight="true" outlineLevel="0" collapsed="false">
      <c r="B13" s="36" t="s">
        <v>66</v>
      </c>
    </row>
    <row r="14" customFormat="false" ht="15" hidden="false" customHeight="true" outlineLevel="0" collapsed="false">
      <c r="B14" s="37" t="s">
        <v>67</v>
      </c>
    </row>
    <row r="15" customFormat="false" ht="30" hidden="false" customHeight="true" outlineLevel="0" collapsed="false">
      <c r="B15" s="37" t="s">
        <v>68</v>
      </c>
    </row>
    <row r="17" customFormat="false" ht="19.5" hidden="false" customHeight="true" outlineLevel="0" collapsed="false">
      <c r="B17" s="36" t="s">
        <v>69</v>
      </c>
    </row>
    <row r="18" customFormat="false" ht="15" hidden="false" customHeight="true" outlineLevel="0" collapsed="false">
      <c r="B18" s="37" t="s">
        <v>70</v>
      </c>
    </row>
    <row r="19" customFormat="false" ht="30" hidden="false" customHeight="true" outlineLevel="0" collapsed="false">
      <c r="B19" s="37" t="s">
        <v>71</v>
      </c>
    </row>
    <row r="20" customFormat="false" ht="15" hidden="false" customHeight="true" outlineLevel="0" collapsed="false">
      <c r="B20" s="37" t="s">
        <v>72</v>
      </c>
    </row>
    <row r="22" customFormat="false" ht="19.5" hidden="false" customHeight="true" outlineLevel="0" collapsed="false">
      <c r="B22" s="36" t="s">
        <v>73</v>
      </c>
    </row>
    <row r="23" customFormat="false" ht="15" hidden="false" customHeight="true" outlineLevel="0" collapsed="false">
      <c r="B23" s="37" t="s">
        <v>74</v>
      </c>
    </row>
    <row r="24" customFormat="false" ht="15" hidden="false" customHeight="true" outlineLevel="0" collapsed="false">
      <c r="B24" s="37" t="s">
        <v>75</v>
      </c>
    </row>
    <row r="25" customFormat="false" ht="30" hidden="false" customHeight="true" outlineLevel="0" collapsed="false">
      <c r="B25" s="37" t="s">
        <v>76</v>
      </c>
    </row>
    <row r="27" customFormat="false" ht="19.5" hidden="false" customHeight="true" outlineLevel="0" collapsed="false">
      <c r="B27" s="36" t="s">
        <v>77</v>
      </c>
    </row>
    <row r="28" customFormat="false" ht="15" hidden="false" customHeight="true" outlineLevel="0" collapsed="false">
      <c r="B28" s="37" t="s">
        <v>78</v>
      </c>
    </row>
    <row r="29" customFormat="false" ht="15" hidden="false" customHeight="true" outlineLevel="0" collapsed="false">
      <c r="B29" s="37" t="s">
        <v>79</v>
      </c>
    </row>
    <row r="30" customFormat="false" ht="30" hidden="false" customHeight="true" outlineLevel="0" collapsed="false">
      <c r="B30" s="37" t="s">
        <v>80</v>
      </c>
    </row>
    <row r="31" customFormat="false" ht="30" hidden="false" customHeight="true" outlineLevel="0" collapsed="false">
      <c r="B31" s="37" t="s">
        <v>81</v>
      </c>
    </row>
    <row r="32" customFormat="false" ht="15" hidden="false" customHeight="true" outlineLevel="0" collapsed="false">
      <c r="B32" s="3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2026-07-01T07:48:43Z</dcterms:created>
  <dc:creator>openpyxl</dc:creator>
  <dc:description/>
  <dc:language>en-US</dc:language>
  <cp:lastModifiedBy/>
  <dcterms:modified xsi:type="dcterms:W3CDTF">2026-07-01T07:48:43Z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