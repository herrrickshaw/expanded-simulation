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e Carlo Simulation" sheetId="2" state="visible" r:id="rId4"/>
    <sheet name="README" sheetId="3" state="visible" r:id="rId5"/>
    <sheet name="Scenarios" sheetId="4" state="visible" r:id="rId6"/>
    <sheet name="Minimal Winning Coalitions" sheetId="5" state="visible" r:id="rId7"/>
    <sheet name="Banzhaf Power Inde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<sst xmlns="http://schemas.openxmlformats.org/spreadsheetml/2006/main" count="341" uniqueCount="246">
  <si>
    <t xml:space="preserve">India Lok Sabha: Coalition Game Theory Dashboard</t>
  </si>
  <si>
    <t xml:space="preserve">Existing-parties-only scenario simulation | Majority threshold: 272 of 543 seats | Compiled June 2026</t>
  </si>
  <si>
    <t xml:space="preserve">Scenario Outcomes at a Glance</t>
  </si>
  <si>
    <t xml:space="preserve">Scenario</t>
  </si>
  <si>
    <t xml:space="preserve">NDA Seats</t>
  </si>
  <si>
    <t xml:space="preserve">INDIA Seats</t>
  </si>
  <si>
    <t xml:space="preserve">Largest Single Bloc</t>
  </si>
  <si>
    <t xml:space="preserve">Outcome</t>
  </si>
  <si>
    <t xml:space="preserve"># Min. Winning Coalitions</t>
  </si>
  <si>
    <t xml:space="preserve">S0: Actual Current</t>
  </si>
  <si>
    <t xml:space="preserve">NDA</t>
  </si>
  <si>
    <t xml:space="preserve">NDA has outright majority</t>
  </si>
  <si>
    <t xml:space="preserve">S1: 2024 Declared</t>
  </si>
  <si>
    <t xml:space="preserve">S2: NDA Short (Hung)</t>
  </si>
  <si>
    <t xml:space="preserve">INDIA</t>
  </si>
  <si>
    <t xml:space="preserve">HUNG PARLIAMENT</t>
  </si>
  <si>
    <t xml:space="preserve">S3: Deep Fragmentation</t>
  </si>
  <si>
    <t xml:space="preserve">S4: NDA + 1 Swing Party</t>
  </si>
  <si>
    <t xml:space="preserve">S5: INDIA Largest (Hung)</t>
  </si>
  <si>
    <t xml:space="preserve">Monte Carlo Check: Across 20,000 Randomized Permutations</t>
  </si>
  <si>
    <t xml:space="preserve">NDA Outright Majority</t>
  </si>
  <si>
    <t xml:space="preserve">INDIA Outright Majority</t>
  </si>
  <si>
    <t xml:space="preserve">Hung Parliament</t>
  </si>
  <si>
    <t xml:space="preserve">See 'Monte Carlo Simulation' sheet for the full distribution and methodology.</t>
  </si>
  <si>
    <t xml:space="preserve">Key Findings</t>
  </si>
  <si>
    <t xml:space="preserve">1. TODAY'S ACTUAL POSITION (S0): NDA holds 318 of 543 seats on its own — a standalone majority with</t>
  </si>
  <si>
    <t xml:space="preserve">   46-seat headroom. No coalition bargaining is structurally necessary; NDA's Banzhaf power = 1.0 and</t>
  </si>
  <si>
    <t xml:space="preserve">   every other party's = 0, because NDA alone already satisfies the winning condition.</t>
  </si>
  <si>
    <t xml:space="preserve">2. The moment NDA drops below 272 alone (S2-S5), the game changes completely. Regional/unaligned</t>
  </si>
  <si>
    <t xml:space="preserve">   parties that currently have ZERO formal power suddenly become decisive. In S2 (NDA at 255), YSRCP's</t>
  </si>
  <si>
    <t xml:space="preserve">   Banzhaf index jumps to 0.193 — meaningful leverage from just 10 seats — because it sits at the</t>
  </si>
  <si>
    <t xml:space="preserve">   fulcrum between two near-tied blocs.</t>
  </si>
  <si>
    <t xml:space="preserve">3. Minimal winning coalitions multiply fast under fragmentation: scenario S0 has exactly 1 (NDA alone);</t>
  </si>
  <si>
    <t xml:space="preserve">   S5 (INDIA largest but short) has 100. More viable coalition combinations generally means LESS</t>
  </si>
  <si>
    <t xml:space="preserve">   stable governance — more potential veto points, more re-bargaining risk over an MP's term.</t>
  </si>
  <si>
    <t xml:space="preserve">4. Small parties are not equally powerful just because they're all 'swing'. In every hung scenario,</t>
  </si>
  <si>
    <t xml:space="preserve">   the largest unaligned party (YSRCP-scale, 10-25 seats) captures most of the bargaining power among</t>
  </si>
  <si>
    <t xml:space="preserve">   minor parties; 1-seat independents are almost never individually pivotal — they only matter as part</t>
  </si>
  <si>
    <t xml:space="preserve">   of an aggregated bloc.</t>
  </si>
  <si>
    <t xml:space="preserve">5. Bottom line on your question: a hung parliament is NOT a likely outcome from current numbers (NDA's</t>
  </si>
  <si>
    <t xml:space="preserve">   46-seat majority cushion is large by historical standards), but it is NOT structurally impossible —</t>
  </si>
  <si>
    <t xml:space="preserve">   it requires the same kind of seat erosion that already happened to BJP once (303 -&gt; 240 from 2019</t>
  </si>
  <si>
    <t xml:space="preserve">   to 2024). The game-theoretic lesson is less 'will it happen' and more 'if it does, who gains power':</t>
  </si>
  <si>
    <t xml:space="preserve">   regional and unaligned parties — not new entrants — are the most likely beneficiaries.</t>
  </si>
  <si>
    <t xml:space="preserve">See 'Scenarios' for full seat tables, 'Minimal Winning Coalitions' for all viable governing combinations,</t>
  </si>
  <si>
    <t xml:space="preserve">and 'Banzhaf Power Index' for bargaining-power comparison across scenarios.</t>
  </si>
  <si>
    <t xml:space="preserve">Monte Carlo Simulation: 20,000 Randomized Seat Distributions</t>
  </si>
  <si>
    <t xml:space="preserve">Each draw randomizes every party's seats within a historically plausible range (e.g. NDA 220-360, YSRCP 0-25), constrained to sum to 543. Existing parties only.</t>
  </si>
  <si>
    <t xml:space="preserve">Based on 20,000 simulations with random seed fixed for reproducibility (seed=42).</t>
  </si>
  <si>
    <t xml:space="preserve">Distribution of NDA Seats Across All Simulations</t>
  </si>
  <si>
    <t xml:space="preserve">NDA Seat Range</t>
  </si>
  <si>
    <t xml:space="preserve">Count</t>
  </si>
  <si>
    <t xml:space="preserve">% of Simulations</t>
  </si>
  <si>
    <t xml:space="preserve">201-210</t>
  </si>
  <si>
    <t xml:space="preserve">211-220</t>
  </si>
  <si>
    <t xml:space="preserve">221-230</t>
  </si>
  <si>
    <t xml:space="preserve">231-240</t>
  </si>
  <si>
    <t xml:space="preserve">241-250</t>
  </si>
  <si>
    <t xml:space="preserve">251-260</t>
  </si>
  <si>
    <t xml:space="preserve">261-270</t>
  </si>
  <si>
    <t xml:space="preserve">271-280</t>
  </si>
  <si>
    <t xml:space="preserve">281-290</t>
  </si>
  <si>
    <t xml:space="preserve">291-300</t>
  </si>
  <si>
    <t xml:space="preserve">301-310</t>
  </si>
  <si>
    <t xml:space="preserve">311-320</t>
  </si>
  <si>
    <t xml:space="preserve">321-330</t>
  </si>
  <si>
    <t xml:space="preserve">331-340</t>
  </si>
  <si>
    <t xml:space="preserve">341-350</t>
  </si>
  <si>
    <t xml:space="preserve">Majority threshold (272 seats) falls within the highlighted band.</t>
  </si>
  <si>
    <t xml:space="preserve">Average Banzhaf Power Index, Conditional on Hung Parliament</t>
  </si>
  <si>
    <t xml:space="preserve">(Averaged only across the ~38% of simulations that produced a hung parliament; shows realistic bargaining power IF no bloc wins outright.)</t>
  </si>
  <si>
    <t xml:space="preserve">Party</t>
  </si>
  <si>
    <t xml:space="preserve">Avg Banzhaf Index (when hung)</t>
  </si>
  <si>
    <t xml:space="preserve"># Hung Draws Appeared In</t>
  </si>
  <si>
    <t xml:space="preserve">YSRCP</t>
  </si>
  <si>
    <t xml:space="preserve">AAP</t>
  </si>
  <si>
    <t xml:space="preserve">IND</t>
  </si>
  <si>
    <t xml:space="preserve">AIMIM</t>
  </si>
  <si>
    <t xml:space="preserve">AD(WPD)</t>
  </si>
  <si>
    <t xml:space="preserve">SAD</t>
  </si>
  <si>
    <t xml:space="preserve">ASP(KR)</t>
  </si>
  <si>
    <t xml:space="preserve">UPPL</t>
  </si>
  <si>
    <t xml:space="preserve">JKAIP</t>
  </si>
  <si>
    <t xml:space="preserve">ZPM</t>
  </si>
  <si>
    <t xml:space="preserve">Lok Sabha Coalition Game Theory Simulator</t>
  </si>
  <si>
    <t xml:space="preserve">Scenario analysis of majority formation using existing parties only — no new parties assumed.</t>
  </si>
  <si>
    <t xml:space="preserve">What this is</t>
  </si>
  <si>
    <t xml:space="preserve">  A structural simulation, NOT a forecast. It takes hypothetical seat distributions among parties</t>
  </si>
  <si>
    <t xml:space="preserve">  that already exist today and asks: under coalition/cooperative game theory, which combinations of</t>
  </si>
  <si>
    <t xml:space="preserve">  parties could form a majority (272 of 543 seats), and how much bargaining power does each party</t>
  </si>
  <si>
    <t xml:space="preserve">  hold in that configuration? It does not predict vote shares, swing voters, or who would actually win.</t>
  </si>
  <si>
    <t xml:space="preserve">Game theory concepts used</t>
  </si>
  <si>
    <t xml:space="preserve">  • Majority threshold (quota) = 272 of 543 seats.</t>
  </si>
  <si>
    <t xml:space="preserve">  • Minimal Winning Coalition (MWC): a set of parties whose combined seats &gt;= 272, where removing ANY</t>
  </si>
  <si>
    <t xml:space="preserve">    one member would drop the coalition below 272. These are the 'efficient' governing combinations —</t>
  </si>
  <si>
    <t xml:space="preserve">    no party is carried for free; every member is necessary.</t>
  </si>
  <si>
    <t xml:space="preserve">  • Banzhaf Power Index: for each party, the share of all possible coalitions in which that party is</t>
  </si>
  <si>
    <t xml:space="preserve">    'critical' (its addition flips a losing coalition into a winning one). This captures bargaining</t>
  </si>
  <si>
    <t xml:space="preserve">    leverage in a way raw seat count does not — a 4-seat party can have real power if it is the</t>
  </si>
  <si>
    <t xml:space="preserve">    decisive vote in many possible combinations; a 200-seat party can have ZERO power if it can never</t>
  </si>
  <si>
    <t xml:space="preserve">    be pivotal (e.g. if a single rival bloc already holds a majority alone).</t>
  </si>
  <si>
    <t xml:space="preserve">How parties are grouped</t>
  </si>
  <si>
    <t xml:space="preserve">  NDA and INDIA are treated as cohesive blocs (their real-world behavior to date) for the BASE CASE.</t>
  </si>
  <si>
    <t xml:space="preserve">  Smaller unaligned/regional parties (YSRCP, AAP, AIMIM, SAD, etc.) are modeled individually since</t>
  </si>
  <si>
    <t xml:space="preserve">  they are the parties most likely to be genuine kingmakers in a hung-parliament scenario.</t>
  </si>
  <si>
    <t xml:space="preserve">  This mirrors how Indian coalition bargaining actually happens — alliance blocs negotiate as units;</t>
  </si>
  <si>
    <t xml:space="preserve">  unaligned regional parties are courted individually.</t>
  </si>
  <si>
    <t xml:space="preserve">IMPORTANT correction from current actual standing (June 2026)</t>
  </si>
  <si>
    <t xml:space="preserve">  20 Trinamool Congress (TMC/AITC) MPs merged into the pre-existing Nationalist Citizens Party of</t>
  </si>
  <si>
    <t xml:space="preserve">  India (NCPI, registered 2023) and joined NDA; 6 Shiv Sena (UBT) MPs migrated to Shiv Sena (also NDA).</t>
  </si>
  <si>
    <t xml:space="preserve">  This pushed NDA's actual current strength to 318 seats (from 293 at the 2024 declaration) — already</t>
  </si>
  <si>
    <t xml:space="preserve">  a standalone majority. Because NCPI is a pre-2026 registered party, this respects the 'no new</t>
  </si>
  <si>
    <t xml:space="preserve">  parties' constraint. Scenario S0 reflects this current reality; S1 reflects the 2024 result AS</t>
  </si>
  <si>
    <t xml:space="preserve">  DECLARED, before this realignment, for comparison.</t>
  </si>
  <si>
    <t xml:space="preserve">Scenarios modeled (see 'Scenarios' sheet for full detail)</t>
  </si>
  <si>
    <t xml:space="preserve">  S0: Actual current standing (NDA 318 — majority, no coalition math needed)</t>
  </si>
  <si>
    <t xml:space="preserve">  S1: 2024 result as originally declared (NDA 293 — majority, but with allies, before TMC split)</t>
  </si>
  <si>
    <t xml:space="preserve">  S2: NDA underperforms, INDIA also short — genuinely hung, regional parties needed by either side</t>
  </si>
  <si>
    <t xml:space="preserve">  S3: Deep fragmentation — both blocs well under 272, several mid-sized regional parties pivotal</t>
  </si>
  <si>
    <t xml:space="preserve">  S4: NDA narrowly short, one large regional revival (YSRCP-scale) becomes the deciding swing party</t>
  </si>
  <si>
    <t xml:space="preserve">  S5: Role reversal — INDIA becomes largest bloc but still short of outright majority</t>
  </si>
  <si>
    <t xml:space="preserve">How to adjust scenarios yourself</t>
  </si>
  <si>
    <t xml:space="preserve">  Edit the BLUE seat-count cells on the 'Scenarios' sheet. Note: minimal winning coalitions and Banzhaf</t>
  </si>
  <si>
    <t xml:space="preserve">  indices are NOT live Excel formulas (this combinatorial search is impractical in spreadsheet formulas);</t>
  </si>
  <si>
    <t xml:space="preserve">  they were computed in Python for the scenarios shown. To test a new distribution, change the numbers,</t>
  </si>
  <si>
    <t xml:space="preserve">  re-run the companion script, and the results will update. Ask for a re-run with your new numbers.</t>
  </si>
  <si>
    <t xml:space="preserve">Sources for current party seat data</t>
  </si>
  <si>
    <t xml:space="preserve">  Wikipedia 'List of members of the 18th Lok Sabha' (party-wise tally as of 28 March 2026) and</t>
  </si>
  <si>
    <t xml:space="preserve">  Wikipedia 'National Democratic Alliance' (June 2026 TMC/NCPI merger and Shiv Sena migration update).</t>
  </si>
  <si>
    <t xml:space="preserve">Caveat</t>
  </si>
  <si>
    <t xml:space="preserve">  This is a methodological exercise built on illustrative seat numbers for scenarios S2-S5, not polling</t>
  </si>
  <si>
    <t xml:space="preserve">  or projection data. Real coalition formation also depends on ideology, history, state-level rivalries,</t>
  </si>
  <si>
    <t xml:space="preserve">  and bargaining beyond pure seat arithmetic — this captures the arithmetic layer only.</t>
  </si>
  <si>
    <t xml:space="preserve">Monte Carlo randomization (NEW)</t>
  </si>
  <si>
    <t xml:space="preserve">  In addition to the 6 hand-picked scenarios, the 'Monte Carlo Simulation' sheet runs 20,000 randomized</t>
  </si>
  <si>
    <t xml:space="preserve">  seat distributions to answer: across plausible permutations, how often is the outcome actually hung?</t>
  </si>
  <si>
    <t xml:space="preserve">  Method: each party/bloc's seat count is drawn uniformly from a historically grounded range (e.g. NDA</t>
  </si>
  <si>
    <t xml:space="preserve">  220-360, based on its 293-353 span across 2014/2019/2024-plus-2026-realignment; YSRCP 0-25, reflecting</t>
  </si>
  <si>
    <t xml:space="preserve">  its actual swing from 22 seats in 2019 to 0 in 2024). All draws are rescaled to sum to exactly 543.</t>
  </si>
  <si>
    <t xml:space="preserve">  For every draw, the same exact game theory (minimal winning coalitions, Banzhaf power index) used in</t>
  </si>
  <si>
    <t xml:space="preserve">  the hand-picked scenarios is recomputed. This is a structural sensitivity analysis, NOT a probabilistic</t>
  </si>
  <si>
    <t xml:space="preserve">  forecast — it assumes a uniform (not poll-weighted) distribution within each party's plausible range,</t>
  </si>
  <si>
    <t xml:space="preserve">  so the resulting percentages describe 'how much of the plausible-outcome SPACE is hung', not 'what is</t>
  </si>
  <si>
    <t xml:space="preserve">  the probability of a hung parliament in 2029'. Random seed fixed (42) for reproducibility.</t>
  </si>
  <si>
    <t xml:space="preserve">Scenario Definitions: Hypothetical Seat Distributions (existing parties only)</t>
  </si>
  <si>
    <t xml:space="preserve">Edit blue cells to test your own assumptions. Majority threshold = 272 of 543 seats.</t>
  </si>
  <si>
    <t xml:space="preserve">Party / Bloc</t>
  </si>
  <si>
    <t xml:space="preserve">S0: Actual Current (June 2026)</t>
  </si>
  <si>
    <t xml:space="preserve">S1: 2024 Result As Declared</t>
  </si>
  <si>
    <t xml:space="preserve">S2: NDA Falls Short, Hung</t>
  </si>
  <si>
    <t xml:space="preserve">S4: NDA Needs One Swing Party</t>
  </si>
  <si>
    <t xml:space="preserve">S5: INDIA Largest, No Majority</t>
  </si>
  <si>
    <t xml:space="preserve">Vacant</t>
  </si>
  <si>
    <t xml:space="preserve">BJD_revival</t>
  </si>
  <si>
    <t xml:space="preserve">Other_regional</t>
  </si>
  <si>
    <t xml:space="preserve">TOTAL</t>
  </si>
  <si>
    <t xml:space="preserve">RESULT</t>
  </si>
  <si>
    <t xml:space="preserve">Single bloc has majority</t>
  </si>
  <si>
    <t xml:space="preserve">Minimal Winning Coalitions by Scenario</t>
  </si>
  <si>
    <t xml:space="preserve">A Minimal Winning Coalition (MWC) is a set of parties reaching &gt;=272 seats where every member is necessary — remove any one and it falls below majority.</t>
  </si>
  <si>
    <t xml:space="preserve">#</t>
  </si>
  <si>
    <t xml:space="preserve">Coalition</t>
  </si>
  <si>
    <t xml:space="preserve">Total Seats</t>
  </si>
  <si>
    <t xml:space="preserve">Margin Over 272</t>
  </si>
  <si>
    <t xml:space="preserve"># Parties Needed</t>
  </si>
  <si>
    <t xml:space="preserve">NDA + INDIA</t>
  </si>
  <si>
    <t xml:space="preserve">INDIA + YSRCP + AIMIM</t>
  </si>
  <si>
    <t xml:space="preserve">INDIA + YSRCP + ASP(KR)</t>
  </si>
  <si>
    <t xml:space="preserve">INDIA + YSRCP + SAD</t>
  </si>
  <si>
    <t xml:space="preserve">INDIA + YSRCP + AD(WPD)</t>
  </si>
  <si>
    <t xml:space="preserve">INDIA + YSRCP + AAP</t>
  </si>
  <si>
    <t xml:space="preserve">NDA + YSRCP + AAP + UPPL</t>
  </si>
  <si>
    <t xml:space="preserve">NDA + YSRCP + AAP + ZPM</t>
  </si>
  <si>
    <t xml:space="preserve">INDIA + YSRCP + UPPL + ZPM</t>
  </si>
  <si>
    <t xml:space="preserve">INDIA + AAP + AD(WPD) + AIMIM</t>
  </si>
  <si>
    <t xml:space="preserve">INDIA + AAP + AD(WPD) + ASP(KR)</t>
  </si>
  <si>
    <t xml:space="preserve">INDIA + AAP + AD(WPD) + SAD</t>
  </si>
  <si>
    <t xml:space="preserve">NDA + YSRCP + AAP + AIMIM</t>
  </si>
  <si>
    <t xml:space="preserve">NDA + YSRCP + AAP + ASP(KR)</t>
  </si>
  <si>
    <t xml:space="preserve">NDA + YSRCP + AAP + SAD</t>
  </si>
  <si>
    <t xml:space="preserve">NDA + YSRCP + AAP + AD(WPD)</t>
  </si>
  <si>
    <t xml:space="preserve">NDA + YSRCP + AD(WPD) + AIMIM + UPPL</t>
  </si>
  <si>
    <t xml:space="preserve">NDA + YSRCP + AD(WPD) + AIMIM + ZPM</t>
  </si>
  <si>
    <t xml:space="preserve">NDA + YSRCP + AD(WPD) + ASP(KR) + UPPL</t>
  </si>
  <si>
    <t xml:space="preserve">NDA + YSRCP + AD(WPD) + ASP(KR) + ZPM</t>
  </si>
  <si>
    <t xml:space="preserve">... plus 15 more minimal winning coalitions (showing 20 smallest/most efficient)</t>
  </si>
  <si>
    <t xml:space="preserve">NDA + YSRCP + Other_regional</t>
  </si>
  <si>
    <t xml:space="preserve">NDA + YSRCP + BJD_revival</t>
  </si>
  <si>
    <t xml:space="preserve">NDA + YSRCP + AAP</t>
  </si>
  <si>
    <t xml:space="preserve">INDIA + YSRCP + BJD_revival + Other_regional</t>
  </si>
  <si>
    <t xml:space="preserve">NDA + AAP + BJD_revival + Other_regional</t>
  </si>
  <si>
    <t xml:space="preserve">INDIA + YSRCP + AAP + Other_regional</t>
  </si>
  <si>
    <t xml:space="preserve">INDIA + YSRCP + AAP + BJD_revival</t>
  </si>
  <si>
    <t xml:space="preserve">NDA + BJD_revival + AIMIM + Other_regional</t>
  </si>
  <si>
    <t xml:space="preserve">INDIA + YSRCP + AIMIM + Other_regional</t>
  </si>
  <si>
    <t xml:space="preserve">INDIA + YSRCP + BJD_revival + AIMIM</t>
  </si>
  <si>
    <t xml:space="preserve">NDA + AAP + AIMIM + Other_regional</t>
  </si>
  <si>
    <t xml:space="preserve">INDIA + AAP + BJD_revival + Other_regional</t>
  </si>
  <si>
    <t xml:space="preserve">NDA + AAP + BJD_revival + AIMIM</t>
  </si>
  <si>
    <t xml:space="preserve">INDIA + YSRCP + AAP + AIMIM</t>
  </si>
  <si>
    <t xml:space="preserve">NDA + YSRCP</t>
  </si>
  <si>
    <t xml:space="preserve">INDIA + YSRCP + AAP + UPPL</t>
  </si>
  <si>
    <t xml:space="preserve">INDIA + YSRCP + AAP + ZPM</t>
  </si>
  <si>
    <t xml:space="preserve">INDIA + YSRCP + AAP + JKAIP</t>
  </si>
  <si>
    <t xml:space="preserve">INDIA + YSRCP + AAP + ASP(KR)</t>
  </si>
  <si>
    <t xml:space="preserve">INDIA + YSRCP + AAP + SAD</t>
  </si>
  <si>
    <t xml:space="preserve">INDIA + YSRCP + AAP + AD(WPD)</t>
  </si>
  <si>
    <t xml:space="preserve">NDA + AAP + AD(WPD) + AIMIM + UPPL</t>
  </si>
  <si>
    <t xml:space="preserve">NDA + AAP + AD(WPD) + AIMIM + ZPM</t>
  </si>
  <si>
    <t xml:space="preserve">NDA + AAP + AD(WPD) + AIMIM + JKAIP</t>
  </si>
  <si>
    <t xml:space="preserve">NDA + AAP + AD(WPD) + ASP(KR) + UPPL</t>
  </si>
  <si>
    <t xml:space="preserve">NDA + AAP + AD(WPD) + ASP(KR) + ZPM</t>
  </si>
  <si>
    <t xml:space="preserve">NDA + AAP + AD(WPD) + ASP(KR) + JKAIP</t>
  </si>
  <si>
    <t xml:space="preserve">NDA + AAP + AD(WPD) + SAD + UPPL</t>
  </si>
  <si>
    <t xml:space="preserve">NDA + AAP + AD(WPD) + SAD + ZPM</t>
  </si>
  <si>
    <t xml:space="preserve">NDA + AAP + AD(WPD) + SAD + JKAIP</t>
  </si>
  <si>
    <t xml:space="preserve">NDA + AAP + AIMIM + ASP(KR) + SAD</t>
  </si>
  <si>
    <t xml:space="preserve">INDIA + YSRCP + AD(WPD) + AIMIM + ASP(KR)</t>
  </si>
  <si>
    <t xml:space="preserve">... plus 31 more minimal winning coalitions (showing 20 smallest/most efficient)</t>
  </si>
  <si>
    <t xml:space="preserve">INDIA + YSRCP</t>
  </si>
  <si>
    <t xml:space="preserve">INDIA + AAP + AD(WPD)</t>
  </si>
  <si>
    <t xml:space="preserve">INDIA + AAP + IND</t>
  </si>
  <si>
    <t xml:space="preserve">INDIA + AAP + ASP(KR) + SAD</t>
  </si>
  <si>
    <t xml:space="preserve">INDIA + AAP + ASP(KR) + UPPL</t>
  </si>
  <si>
    <t xml:space="preserve">INDIA + AAP + ASP(KR) + ZPM</t>
  </si>
  <si>
    <t xml:space="preserve">INDIA + AAP + ASP(KR) + JKAIP</t>
  </si>
  <si>
    <t xml:space="preserve">INDIA + AAP + SAD + UPPL</t>
  </si>
  <si>
    <t xml:space="preserve">INDIA + AAP + SAD + ZPM</t>
  </si>
  <si>
    <t xml:space="preserve">INDIA + AAP + SAD + JKAIP</t>
  </si>
  <si>
    <t xml:space="preserve">INDIA + AAP + UPPL + ZPM</t>
  </si>
  <si>
    <t xml:space="preserve">INDIA + AAP + UPPL + JKAIP</t>
  </si>
  <si>
    <t xml:space="preserve">INDIA + AAP + ZPM + JKAIP</t>
  </si>
  <si>
    <t xml:space="preserve">INDIA + AIMIM + ASP(KR) + IND</t>
  </si>
  <si>
    <t xml:space="preserve">INDIA + AIMIM + SAD + IND</t>
  </si>
  <si>
    <t xml:space="preserve">INDIA + AIMIM + UPPL + IND</t>
  </si>
  <si>
    <t xml:space="preserve">INDIA + AIMIM + ZPM + IND</t>
  </si>
  <si>
    <t xml:space="preserve">INDIA + AIMIM + JKAIP + IND</t>
  </si>
  <si>
    <t xml:space="preserve">INDIA + AAP + AIMIM + ASP(KR)</t>
  </si>
  <si>
    <t xml:space="preserve">... plus 80 more minimal winning coalitions (showing 20 smallest/most efficient)</t>
  </si>
  <si>
    <t xml:space="preserve">Banzhaf Power Index by Scenario</t>
  </si>
  <si>
    <t xml:space="preserve">Share of all possible coalitions in which each party is the decisive (pivotal) vote. A party can have real bargaining power even with few seats — or none, even with many — depending on the configuration.</t>
  </si>
  <si>
    <t xml:space="preserve">S0: Current</t>
  </si>
  <si>
    <t xml:space="preserve">S2: NDA Short</t>
  </si>
  <si>
    <t xml:space="preserve">S3: Fragmented</t>
  </si>
  <si>
    <t xml:space="preserve">S4: NDA+Swing</t>
  </si>
  <si>
    <t xml:space="preserve">S5: INDIA Largest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</si>
</sst>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EAF1F8"/>
      </patternFill>
    </fill>
    <fill>
      <patternFill patternType="solid">
        <fgColor rgb="FFD9E1F2"/>
        <bgColor rgb="FFD9D9D9"/>
      </patternFill>
    </fill>
    <fill>
      <patternFill patternType="solid">
        <fgColor rgb="FFEAF1F8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0B4"/>
      <rgbColor rgb="FFFFFF99"/>
      <rgbColor rgb="FFB3B3B3"/>
      <rgbColor rgb="FFFF99CC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NDA Seats (20,000 simulations)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'Monte Carlo Simulation'!B11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 Simulation'!$A$12:$A$26</c:f>
              <c:strCache>
                <c:ptCount val="15"/>
                <c:pt idx="0">
                  <c:v>201-210</c:v>
                </c:pt>
                <c:pt idx="1">
                  <c:v>211-220</c:v>
                </c:pt>
                <c:pt idx="2">
                  <c:v>221-230</c:v>
                </c:pt>
                <c:pt idx="3">
                  <c:v>231-240</c:v>
                </c:pt>
                <c:pt idx="4">
                  <c:v>241-250</c:v>
                </c:pt>
                <c:pt idx="5">
                  <c:v>251-260</c:v>
                </c:pt>
                <c:pt idx="6">
                  <c:v>261-270</c:v>
                </c:pt>
                <c:pt idx="7">
                  <c:v>271-280</c:v>
                </c:pt>
                <c:pt idx="8">
                  <c:v>281-290</c:v>
                </c:pt>
                <c:pt idx="9">
                  <c:v>291-300</c:v>
                </c:pt>
                <c:pt idx="10">
                  <c:v>301-310</c:v>
                </c:pt>
                <c:pt idx="11">
                  <c:v>311-320</c:v>
                </c:pt>
                <c:pt idx="12">
                  <c:v>321-330</c:v>
                </c:pt>
                <c:pt idx="13">
                  <c:v>331-340</c:v>
                </c:pt>
                <c:pt idx="14">
                  <c:v>341-350</c:v>
                </c:pt>
              </c:strCache>
            </c:strRef>
          </c:cat>
          <c:val>
            <c:numRef>
              <c:f>'Monte Carlo Simulation'!$B$12:$B$26</c:f>
              <c:numCache>
                <c:formatCode>General</c:formatCode>
                <c:ptCount val="15"/>
                <c:pt idx="0">
                  <c:v>72</c:v>
                </c:pt>
                <c:pt idx="1">
                  <c:v>462</c:v>
                </c:pt>
                <c:pt idx="2">
                  <c:v>875</c:v>
                </c:pt>
                <c:pt idx="3">
                  <c:v>1358</c:v>
                </c:pt>
                <c:pt idx="4">
                  <c:v>1792</c:v>
                </c:pt>
                <c:pt idx="5">
                  <c:v>2197</c:v>
                </c:pt>
                <c:pt idx="6">
                  <c:v>2633</c:v>
                </c:pt>
                <c:pt idx="7">
                  <c:v>2814</c:v>
                </c:pt>
                <c:pt idx="8">
                  <c:v>2351</c:v>
                </c:pt>
                <c:pt idx="9">
                  <c:v>2001</c:v>
                </c:pt>
                <c:pt idx="10">
                  <c:v>1532</c:v>
                </c:pt>
                <c:pt idx="11">
                  <c:v>1060</c:v>
                </c:pt>
                <c:pt idx="12">
                  <c:v>610</c:v>
                </c:pt>
                <c:pt idx="13">
                  <c:v>217</c:v>
                </c:pt>
                <c:pt idx="14">
                  <c:v>26</c:v>
                </c:pt>
              </c:numCache>
            </c:numRef>
          </c:val>
        </c:ser>
        <c:gapWidth val="150"/>
        <c:overlap val="0"/>
        <c:axId val="36059955"/>
        <c:axId val="97771460"/>
      </c:barChart>
      <c:catAx>
        <c:axId val="360599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NDA seat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71460"/>
        <c:crosses val="autoZero"/>
        <c:auto val="1"/>
        <c:lblAlgn val="ctr"/>
        <c:lblOffset val="100"/>
        <c:noMultiLvlLbl val="0"/>
      </c:catAx>
      <c:valAx>
        <c:axId val="977714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simulations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59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Banzhaf Power Index: NDA vs INDIA vs Key Swing Parties,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'Banzhaf Power Index'!B22</c:f>
              <c:strCache>
                <c:ptCount val="1"/>
                <c:pt idx="0">
                  <c:v>NDA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'Banzhaf Power Index'!$A$23:$A$28</c:f>
              <c:strCache>
                <c:ptCount val="6"/>
                <c:pt idx="0">
                  <c:v>S0: Current</c:v>
                </c:pt>
                <c:pt idx="1">
                  <c:v>S1: 2024 Declared</c:v>
                </c:pt>
                <c:pt idx="2">
                  <c:v>S2: NDA Short</c:v>
                </c:pt>
                <c:pt idx="3">
                  <c:v>S3: Fragmented</c:v>
                </c:pt>
                <c:pt idx="4">
                  <c:v>S4: NDA+Swing</c:v>
                </c:pt>
                <c:pt idx="5">
                  <c:v>S5: INDIA Largest</c:v>
                </c:pt>
              </c:strCache>
            </c:strRef>
          </c:cat>
          <c:val>
            <c:numRef>
              <c:f>'Banzhaf Power Index'!$B$23:$B$28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0.206</c:v>
                </c:pt>
                <c:pt idx="3">
                  <c:v>0.322</c:v>
                </c:pt>
                <c:pt idx="4">
                  <c:v>0.369</c:v>
                </c:pt>
                <c:pt idx="5">
                  <c:v>0.083</c:v>
                </c:pt>
              </c:numCache>
            </c:numRef>
          </c:val>
        </c:ser>
        <c:ser>
          <c:idx val="1"/>
          <c:order val="1"/>
          <c:tx>
            <c:strRef>
              <c:f>'Banzhaf Power Index'!C22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'Banzhaf Power Index'!$A$23:$A$28</c:f>
              <c:strCache>
                <c:ptCount val="6"/>
                <c:pt idx="0">
                  <c:v>S0: Current</c:v>
                </c:pt>
                <c:pt idx="1">
                  <c:v>S1: 2024 Declared</c:v>
                </c:pt>
                <c:pt idx="2">
                  <c:v>S2: NDA Short</c:v>
                </c:pt>
                <c:pt idx="3">
                  <c:v>S3: Fragmented</c:v>
                </c:pt>
                <c:pt idx="4">
                  <c:v>S4: NDA+Swing</c:v>
                </c:pt>
                <c:pt idx="5">
                  <c:v>S5: INDIA Largest</c:v>
                </c:pt>
              </c:strCache>
            </c:strRef>
          </c:cat>
          <c:val>
            <c:numRef>
              <c:f>'Banzhaf Power Index'!$C$23:$C$28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0.355</c:v>
                </c:pt>
                <c:pt idx="3">
                  <c:v>0.22</c:v>
                </c:pt>
                <c:pt idx="4">
                  <c:v>0.202</c:v>
                </c:pt>
                <c:pt idx="5">
                  <c:v>0.573</c:v>
                </c:pt>
              </c:numCache>
            </c:numRef>
          </c:val>
        </c:ser>
        <c:ser>
          <c:idx val="2"/>
          <c:order val="2"/>
          <c:tx>
            <c:strRef>
              <c:f>'Banzhaf Power Index'!D22</c:f>
              <c:strCache>
                <c:ptCount val="1"/>
                <c:pt idx="0">
                  <c:v>YSRCP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'Banzhaf Power Index'!$A$23:$A$28</c:f>
              <c:strCache>
                <c:ptCount val="6"/>
                <c:pt idx="0">
                  <c:v>S0: Current</c:v>
                </c:pt>
                <c:pt idx="1">
                  <c:v>S1: 2024 Declared</c:v>
                </c:pt>
                <c:pt idx="2">
                  <c:v>S2: NDA Short</c:v>
                </c:pt>
                <c:pt idx="3">
                  <c:v>S3: Fragmented</c:v>
                </c:pt>
                <c:pt idx="4">
                  <c:v>S4: NDA+Swing</c:v>
                </c:pt>
                <c:pt idx="5">
                  <c:v>S5: INDIA Largest</c:v>
                </c:pt>
              </c:strCache>
            </c:strRef>
          </c:cat>
          <c:val>
            <c:numRef>
              <c:f>'Banzhaf Power Index'!$D$23:$D$28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0.193</c:v>
                </c:pt>
                <c:pt idx="3">
                  <c:v>0.153</c:v>
                </c:pt>
                <c:pt idx="4">
                  <c:v>0.202</c:v>
                </c:pt>
                <c:pt idx="5">
                  <c:v>0.083</c:v>
                </c:pt>
              </c:numCache>
            </c:numRef>
          </c:val>
        </c:ser>
        <c:gapWidth val="150"/>
        <c:overlap val="0"/>
        <c:axId val="36064548"/>
        <c:axId val="49034420"/>
      </c:barChart>
      <c:catAx>
        <c:axId val="36064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34420"/>
        <c:crosses val="autoZero"/>
        <c:auto val="1"/>
        <c:lblAlgn val="ctr"/>
        <c:lblOffset val="100"/>
        <c:noMultiLvlLbl val="0"/>
      </c:catAx>
      <c:valAx>
        <c:axId val="490344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Banzhaf Power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645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10</xdr:col>
      <xdr:colOff>181440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39470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160560</xdr:rowOff>
    </xdr:from>
    <xdr:to>
      <xdr:col>6</xdr:col>
      <xdr:colOff>432720</xdr:colOff>
      <xdr:row>48</xdr:row>
      <xdr:rowOff>140400</xdr:rowOff>
    </xdr:to>
    <xdr:graphicFrame>
      <xdr:nvGraphicFramePr>
        <xdr:cNvPr id="1" name="Chart 1"/>
        <xdr:cNvGraphicFramePr/>
      </xdr:nvGraphicFramePr>
      <xdr:xfrm>
        <a:off x="0" y="5713560"/>
        <a:ext cx="71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8" min="7" style="1" width="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s">
        <v>9</v>
      </c>
      <c r="B6" s="6" t="n">
        <v>318</v>
      </c>
      <c r="C6" s="6" t="n">
        <v>206</v>
      </c>
      <c r="D6" s="6" t="s">
        <v>10</v>
      </c>
      <c r="E6" s="7" t="s">
        <v>11</v>
      </c>
      <c r="F6" s="6" t="n">
        <v>1</v>
      </c>
    </row>
    <row r="7" customFormat="false" ht="15" hidden="false" customHeight="true" outlineLevel="0" collapsed="false">
      <c r="A7" s="6" t="s">
        <v>12</v>
      </c>
      <c r="B7" s="6" t="n">
        <v>293</v>
      </c>
      <c r="C7" s="6" t="n">
        <v>234</v>
      </c>
      <c r="D7" s="6" t="s">
        <v>10</v>
      </c>
      <c r="E7" s="7" t="s">
        <v>11</v>
      </c>
      <c r="F7" s="6" t="n">
        <v>1</v>
      </c>
    </row>
    <row r="8" customFormat="false" ht="15" hidden="false" customHeight="true" outlineLevel="0" collapsed="false">
      <c r="A8" s="6" t="s">
        <v>13</v>
      </c>
      <c r="B8" s="6" t="n">
        <v>255</v>
      </c>
      <c r="C8" s="6" t="n">
        <v>260</v>
      </c>
      <c r="D8" s="6" t="s">
        <v>14</v>
      </c>
      <c r="E8" s="8" t="s">
        <v>15</v>
      </c>
      <c r="F8" s="6" t="n">
        <v>35</v>
      </c>
    </row>
    <row r="9" customFormat="false" ht="15" hidden="false" customHeight="true" outlineLevel="0" collapsed="false">
      <c r="A9" s="6" t="s">
        <v>16</v>
      </c>
      <c r="B9" s="6" t="n">
        <v>240</v>
      </c>
      <c r="C9" s="6" t="n">
        <v>230</v>
      </c>
      <c r="D9" s="6" t="s">
        <v>10</v>
      </c>
      <c r="E9" s="8" t="s">
        <v>15</v>
      </c>
      <c r="F9" s="6" t="n">
        <v>15</v>
      </c>
    </row>
    <row r="10" customFormat="false" ht="15" hidden="false" customHeight="true" outlineLevel="0" collapsed="false">
      <c r="A10" s="6" t="s">
        <v>17</v>
      </c>
      <c r="B10" s="6" t="n">
        <v>260</v>
      </c>
      <c r="C10" s="6" t="n">
        <v>245</v>
      </c>
      <c r="D10" s="6" t="s">
        <v>10</v>
      </c>
      <c r="E10" s="8" t="s">
        <v>15</v>
      </c>
      <c r="F10" s="6" t="n">
        <v>51</v>
      </c>
    </row>
    <row r="11" customFormat="false" ht="15" hidden="false" customHeight="true" outlineLevel="0" collapsed="false">
      <c r="A11" s="6" t="s">
        <v>18</v>
      </c>
      <c r="B11" s="6" t="n">
        <v>235</v>
      </c>
      <c r="C11" s="6" t="n">
        <v>260</v>
      </c>
      <c r="D11" s="6" t="s">
        <v>14</v>
      </c>
      <c r="E11" s="8" t="s">
        <v>15</v>
      </c>
      <c r="F11" s="6" t="n">
        <v>100</v>
      </c>
    </row>
    <row r="12" customFormat="false" ht="15" hidden="false" customHeight="false" outlineLevel="0" collapsed="false">
      <c r="A12" s="9" t="s">
        <v>19</v>
      </c>
      <c r="B12" s="9"/>
      <c r="C12" s="9"/>
      <c r="D12" s="9"/>
      <c r="E12" s="9"/>
      <c r="F12" s="9"/>
    </row>
    <row r="13" customFormat="false" ht="15" hidden="false" customHeight="false" outlineLevel="0" collapsed="false">
      <c r="A13" s="10" t="s">
        <v>20</v>
      </c>
      <c r="B13" s="10"/>
      <c r="C13" s="10" t="s">
        <v>21</v>
      </c>
      <c r="D13" s="10"/>
      <c r="E13" s="11" t="s">
        <v>22</v>
      </c>
      <c r="F13" s="11"/>
    </row>
    <row r="14" customFormat="false" ht="15" hidden="false" customHeight="true" outlineLevel="0" collapsed="false">
      <c r="A14" s="12" t="n">
        <v>0.5158</v>
      </c>
      <c r="B14" s="12"/>
      <c r="C14" s="12" t="n">
        <v>0.10505</v>
      </c>
      <c r="D14" s="12"/>
      <c r="E14" s="13" t="n">
        <v>0.37915</v>
      </c>
      <c r="F14" s="13"/>
    </row>
    <row r="15" customFormat="false" ht="15" hidden="false" customHeight="true" outlineLevel="0" collapsed="false">
      <c r="A15" s="12"/>
      <c r="B15" s="12"/>
      <c r="C15" s="12"/>
      <c r="D15" s="12"/>
      <c r="E15" s="13"/>
      <c r="F15" s="13"/>
      <c r="G15" s="12"/>
      <c r="H15" s="12"/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true" outlineLevel="0" collapsed="false">
      <c r="A17" s="15" t="s">
        <v>23</v>
      </c>
      <c r="B17" s="15"/>
      <c r="C17" s="15"/>
      <c r="D17" s="15"/>
      <c r="E17" s="15"/>
      <c r="F17" s="15"/>
      <c r="G17" s="15"/>
      <c r="H17" s="15"/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true" outlineLevel="0" collapsed="false">
      <c r="A20" s="16" t="s">
        <v>24</v>
      </c>
      <c r="B20" s="16"/>
      <c r="C20" s="16"/>
      <c r="D20" s="16"/>
      <c r="E20" s="16"/>
      <c r="F20" s="16"/>
      <c r="G20" s="16"/>
      <c r="H20" s="16"/>
    </row>
    <row r="21" customFormat="false" ht="15" hidden="false" customHeight="true" outlineLevel="0" collapsed="false">
      <c r="A21" s="17" t="s">
        <v>25</v>
      </c>
      <c r="B21" s="17"/>
      <c r="C21" s="17"/>
      <c r="D21" s="17"/>
      <c r="E21" s="17"/>
      <c r="F21" s="17"/>
      <c r="G21" s="17"/>
      <c r="H21" s="17"/>
    </row>
    <row r="22" customFormat="false" ht="15" hidden="false" customHeight="true" outlineLevel="0" collapsed="false">
      <c r="A22" s="17" t="s">
        <v>26</v>
      </c>
      <c r="B22" s="17"/>
      <c r="C22" s="17"/>
      <c r="D22" s="17"/>
      <c r="E22" s="17"/>
      <c r="F22" s="17"/>
      <c r="G22" s="17"/>
      <c r="H22" s="17"/>
    </row>
    <row r="23" customFormat="false" ht="15" hidden="false" customHeight="true" outlineLevel="0" collapsed="false">
      <c r="A23" s="17" t="s">
        <v>27</v>
      </c>
      <c r="B23" s="17"/>
      <c r="C23" s="17"/>
      <c r="D23" s="17"/>
      <c r="E23" s="17"/>
      <c r="F23" s="17"/>
      <c r="G23" s="17"/>
      <c r="H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</row>
    <row r="25" customFormat="false" ht="15" hidden="false" customHeight="true" outlineLevel="0" collapsed="false">
      <c r="A25" s="17" t="s">
        <v>28</v>
      </c>
      <c r="B25" s="17"/>
      <c r="C25" s="17"/>
      <c r="D25" s="17"/>
      <c r="E25" s="17"/>
      <c r="F25" s="17"/>
      <c r="G25" s="17"/>
      <c r="H25" s="17"/>
    </row>
    <row r="26" customFormat="false" ht="15" hidden="false" customHeight="true" outlineLevel="0" collapsed="false">
      <c r="A26" s="17" t="s">
        <v>29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true" outlineLevel="0" collapsed="false">
      <c r="A27" s="17" t="s">
        <v>30</v>
      </c>
      <c r="B27" s="17"/>
      <c r="C27" s="17"/>
      <c r="D27" s="17"/>
      <c r="E27" s="17"/>
      <c r="F27" s="17"/>
      <c r="G27" s="17"/>
      <c r="H27" s="17"/>
    </row>
    <row r="28" customFormat="false" ht="15" hidden="false" customHeight="true" outlineLevel="0" collapsed="false">
      <c r="A28" s="17" t="s">
        <v>31</v>
      </c>
      <c r="B28" s="17"/>
      <c r="C28" s="17"/>
      <c r="D28" s="17"/>
      <c r="E28" s="17"/>
      <c r="F28" s="17"/>
      <c r="G28" s="17"/>
      <c r="H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</row>
    <row r="30" customFormat="false" ht="15" hidden="false" customHeight="true" outlineLevel="0" collapsed="false">
      <c r="A30" s="17" t="s">
        <v>32</v>
      </c>
      <c r="B30" s="17"/>
      <c r="C30" s="17"/>
      <c r="D30" s="17"/>
      <c r="E30" s="17"/>
      <c r="F30" s="17"/>
      <c r="G30" s="17"/>
      <c r="H30" s="17"/>
    </row>
    <row r="31" customFormat="false" ht="15" hidden="false" customHeight="true" outlineLevel="0" collapsed="false">
      <c r="A31" s="17" t="s">
        <v>33</v>
      </c>
      <c r="B31" s="17"/>
      <c r="C31" s="17"/>
      <c r="D31" s="17"/>
      <c r="E31" s="17"/>
      <c r="F31" s="17"/>
      <c r="G31" s="17"/>
      <c r="H31" s="17"/>
    </row>
    <row r="32" customFormat="false" ht="15" hidden="false" customHeight="true" outlineLevel="0" collapsed="false">
      <c r="A32" s="17" t="s">
        <v>34</v>
      </c>
      <c r="B32" s="17"/>
      <c r="C32" s="17"/>
      <c r="D32" s="17"/>
      <c r="E32" s="17"/>
      <c r="F32" s="17"/>
      <c r="G32" s="17"/>
      <c r="H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</row>
    <row r="34" customFormat="false" ht="15" hidden="false" customHeight="true" outlineLevel="0" collapsed="false">
      <c r="A34" s="17" t="s">
        <v>35</v>
      </c>
      <c r="B34" s="17"/>
      <c r="C34" s="17"/>
      <c r="D34" s="17"/>
      <c r="E34" s="17"/>
      <c r="F34" s="17"/>
      <c r="G34" s="17"/>
      <c r="H34" s="17"/>
    </row>
    <row r="35" customFormat="false" ht="15" hidden="false" customHeight="true" outlineLevel="0" collapsed="false">
      <c r="A35" s="17" t="s">
        <v>36</v>
      </c>
      <c r="B35" s="17"/>
      <c r="C35" s="17"/>
      <c r="D35" s="17"/>
      <c r="E35" s="17"/>
      <c r="F35" s="17"/>
      <c r="G35" s="17"/>
      <c r="H35" s="17"/>
    </row>
    <row r="36" customFormat="false" ht="15" hidden="false" customHeight="true" outlineLevel="0" collapsed="false">
      <c r="A36" s="17" t="s">
        <v>37</v>
      </c>
      <c r="B36" s="17"/>
      <c r="C36" s="17"/>
      <c r="D36" s="17"/>
      <c r="E36" s="17"/>
      <c r="F36" s="17"/>
      <c r="G36" s="17"/>
      <c r="H36" s="17"/>
    </row>
    <row r="37" customFormat="false" ht="15" hidden="false" customHeight="true" outlineLevel="0" collapsed="false">
      <c r="A37" s="17" t="s">
        <v>38</v>
      </c>
      <c r="B37" s="17"/>
      <c r="C37" s="17"/>
      <c r="D37" s="17"/>
      <c r="E37" s="17"/>
      <c r="F37" s="17"/>
      <c r="G37" s="17"/>
      <c r="H37" s="17"/>
    </row>
    <row r="38" customFormat="false" ht="15" hidden="false" customHeight="false" outlineLevel="0" collapsed="false">
      <c r="A38" s="18"/>
    </row>
    <row r="39" customFormat="false" ht="15" hidden="false" customHeight="true" outlineLevel="0" collapsed="false">
      <c r="A39" s="18" t="s">
        <v>39</v>
      </c>
    </row>
    <row r="40" customFormat="false" ht="15" hidden="false" customHeight="true" outlineLevel="0" collapsed="false">
      <c r="A40" s="18" t="s">
        <v>40</v>
      </c>
    </row>
    <row r="41" customFormat="false" ht="15" hidden="false" customHeight="false" outlineLevel="0" collapsed="false">
      <c r="A41" s="18" t="s">
        <v>41</v>
      </c>
    </row>
    <row r="42" customFormat="false" ht="15" hidden="false" customHeight="false" outlineLevel="0" collapsed="false">
      <c r="A42" s="18" t="s">
        <v>42</v>
      </c>
    </row>
    <row r="43" customFormat="false" ht="15" hidden="false" customHeight="false" outlineLevel="0" collapsed="false">
      <c r="A43" s="18" t="s">
        <v>43</v>
      </c>
    </row>
    <row r="45" customFormat="false" ht="15" hidden="false" customHeight="false" outlineLevel="0" collapsed="false">
      <c r="A45" s="19" t="s">
        <v>44</v>
      </c>
    </row>
    <row r="46" customFormat="false" ht="15" hidden="false" customHeight="false" outlineLevel="0" collapsed="false">
      <c r="A46" s="19" t="s">
        <v>45</v>
      </c>
    </row>
  </sheetData>
  <mergeCells count="32">
    <mergeCell ref="A1:H1"/>
    <mergeCell ref="A2:H2"/>
    <mergeCell ref="A12:F12"/>
    <mergeCell ref="A13:B13"/>
    <mergeCell ref="C13:D13"/>
    <mergeCell ref="E13:F13"/>
    <mergeCell ref="A14:B15"/>
    <mergeCell ref="C14:D15"/>
    <mergeCell ref="E14:F15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24"/>
    <col collapsed="false" customWidth="true" hidden="false" outlineLevel="0" max="8" min="6" style="0" width="16"/>
  </cols>
  <sheetData>
    <row r="1" customFormat="false" ht="17.35" hidden="false" customHeight="false" outlineLevel="0" collapsed="false">
      <c r="A1" s="20" t="s">
        <v>46</v>
      </c>
      <c r="B1" s="20"/>
      <c r="C1" s="20"/>
      <c r="D1" s="20"/>
      <c r="E1" s="20"/>
      <c r="F1" s="20"/>
      <c r="G1" s="20"/>
      <c r="H1" s="20"/>
    </row>
    <row r="2" customFormat="false" ht="15" hidden="false" customHeight="false" outlineLevel="0" collapsed="false">
      <c r="A2" s="15" t="s">
        <v>47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10" t="s">
        <v>20</v>
      </c>
      <c r="B4" s="10"/>
      <c r="D4" s="10" t="s">
        <v>21</v>
      </c>
      <c r="E4" s="10"/>
      <c r="G4" s="11" t="s">
        <v>22</v>
      </c>
      <c r="H4" s="11"/>
    </row>
    <row r="5" customFormat="false" ht="15" hidden="false" customHeight="false" outlineLevel="0" collapsed="false">
      <c r="A5" s="21" t="n">
        <v>0.5158</v>
      </c>
      <c r="B5" s="21"/>
      <c r="D5" s="21" t="n">
        <v>0.10505</v>
      </c>
      <c r="E5" s="21"/>
      <c r="G5" s="22" t="n">
        <v>0.37915</v>
      </c>
      <c r="H5" s="22"/>
    </row>
    <row r="6" customFormat="false" ht="15" hidden="false" customHeight="false" outlineLevel="0" collapsed="false">
      <c r="A6" s="21"/>
      <c r="B6" s="21"/>
      <c r="D6" s="21"/>
      <c r="E6" s="21"/>
      <c r="G6" s="22"/>
      <c r="H6" s="22"/>
    </row>
    <row r="8" customFormat="false" ht="15" hidden="false" customHeight="false" outlineLevel="0" collapsed="false">
      <c r="A8" s="15" t="s">
        <v>48</v>
      </c>
      <c r="B8" s="15"/>
      <c r="C8" s="15"/>
      <c r="D8" s="15"/>
      <c r="E8" s="15"/>
      <c r="F8" s="15"/>
      <c r="G8" s="15"/>
      <c r="H8" s="15"/>
    </row>
    <row r="10" customFormat="false" ht="15" hidden="false" customHeight="false" outlineLevel="0" collapsed="false">
      <c r="A10" s="23" t="s">
        <v>49</v>
      </c>
    </row>
    <row r="11" customFormat="false" ht="15" hidden="false" customHeight="false" outlineLevel="0" collapsed="false">
      <c r="A11" s="24" t="s">
        <v>50</v>
      </c>
      <c r="B11" s="24" t="s">
        <v>51</v>
      </c>
      <c r="C11" s="24" t="s">
        <v>52</v>
      </c>
    </row>
    <row r="12" customFormat="false" ht="15" hidden="false" customHeight="false" outlineLevel="0" collapsed="false">
      <c r="A12" s="25" t="s">
        <v>53</v>
      </c>
      <c r="B12" s="25" t="n">
        <v>72</v>
      </c>
      <c r="C12" s="26" t="n">
        <v>0.0036</v>
      </c>
    </row>
    <row r="13" customFormat="false" ht="15" hidden="false" customHeight="false" outlineLevel="0" collapsed="false">
      <c r="A13" s="25" t="s">
        <v>54</v>
      </c>
      <c r="B13" s="25" t="n">
        <v>462</v>
      </c>
      <c r="C13" s="26" t="n">
        <v>0.0231</v>
      </c>
    </row>
    <row r="14" customFormat="false" ht="15" hidden="false" customHeight="false" outlineLevel="0" collapsed="false">
      <c r="A14" s="25" t="s">
        <v>55</v>
      </c>
      <c r="B14" s="25" t="n">
        <v>875</v>
      </c>
      <c r="C14" s="26" t="n">
        <v>0.04375</v>
      </c>
    </row>
    <row r="15" customFormat="false" ht="15" hidden="false" customHeight="false" outlineLevel="0" collapsed="false">
      <c r="A15" s="25" t="s">
        <v>56</v>
      </c>
      <c r="B15" s="25" t="n">
        <v>1358</v>
      </c>
      <c r="C15" s="26" t="n">
        <v>0.0679</v>
      </c>
    </row>
    <row r="16" customFormat="false" ht="15" hidden="false" customHeight="false" outlineLevel="0" collapsed="false">
      <c r="A16" s="25" t="s">
        <v>57</v>
      </c>
      <c r="B16" s="25" t="n">
        <v>1792</v>
      </c>
      <c r="C16" s="26" t="n">
        <v>0.0896</v>
      </c>
    </row>
    <row r="17" customFormat="false" ht="15" hidden="false" customHeight="false" outlineLevel="0" collapsed="false">
      <c r="A17" s="25" t="s">
        <v>58</v>
      </c>
      <c r="B17" s="25" t="n">
        <v>2197</v>
      </c>
      <c r="C17" s="26" t="n">
        <v>0.10985</v>
      </c>
    </row>
    <row r="18" customFormat="false" ht="15" hidden="false" customHeight="false" outlineLevel="0" collapsed="false">
      <c r="A18" s="25" t="s">
        <v>59</v>
      </c>
      <c r="B18" s="25" t="n">
        <v>2633</v>
      </c>
      <c r="C18" s="26" t="n">
        <v>0.13165</v>
      </c>
    </row>
    <row r="19" customFormat="false" ht="15" hidden="false" customHeight="false" outlineLevel="0" collapsed="false">
      <c r="A19" s="27" t="s">
        <v>60</v>
      </c>
      <c r="B19" s="27" t="n">
        <v>2814</v>
      </c>
      <c r="C19" s="28" t="n">
        <v>0.1407</v>
      </c>
    </row>
    <row r="20" customFormat="false" ht="15" hidden="false" customHeight="false" outlineLevel="0" collapsed="false">
      <c r="A20" s="25" t="s">
        <v>61</v>
      </c>
      <c r="B20" s="25" t="n">
        <v>2351</v>
      </c>
      <c r="C20" s="26" t="n">
        <v>0.11755</v>
      </c>
    </row>
    <row r="21" customFormat="false" ht="15" hidden="false" customHeight="false" outlineLevel="0" collapsed="false">
      <c r="A21" s="25" t="s">
        <v>62</v>
      </c>
      <c r="B21" s="25" t="n">
        <v>2001</v>
      </c>
      <c r="C21" s="26" t="n">
        <v>0.10005</v>
      </c>
    </row>
    <row r="22" customFormat="false" ht="15" hidden="false" customHeight="false" outlineLevel="0" collapsed="false">
      <c r="A22" s="25" t="s">
        <v>63</v>
      </c>
      <c r="B22" s="25" t="n">
        <v>1532</v>
      </c>
      <c r="C22" s="26" t="n">
        <v>0.0766</v>
      </c>
    </row>
    <row r="23" customFormat="false" ht="15" hidden="false" customHeight="false" outlineLevel="0" collapsed="false">
      <c r="A23" s="25" t="s">
        <v>64</v>
      </c>
      <c r="B23" s="25" t="n">
        <v>1060</v>
      </c>
      <c r="C23" s="26" t="n">
        <v>0.053</v>
      </c>
    </row>
    <row r="24" customFormat="false" ht="15" hidden="false" customHeight="false" outlineLevel="0" collapsed="false">
      <c r="A24" s="25" t="s">
        <v>65</v>
      </c>
      <c r="B24" s="25" t="n">
        <v>610</v>
      </c>
      <c r="C24" s="26" t="n">
        <v>0.0305</v>
      </c>
    </row>
    <row r="25" customFormat="false" ht="15" hidden="false" customHeight="false" outlineLevel="0" collapsed="false">
      <c r="A25" s="25" t="s">
        <v>66</v>
      </c>
      <c r="B25" s="25" t="n">
        <v>217</v>
      </c>
      <c r="C25" s="26" t="n">
        <v>0.01085</v>
      </c>
    </row>
    <row r="26" customFormat="false" ht="15" hidden="false" customHeight="false" outlineLevel="0" collapsed="false">
      <c r="A26" s="25" t="s">
        <v>67</v>
      </c>
      <c r="B26" s="25" t="n">
        <v>26</v>
      </c>
      <c r="C26" s="26" t="n">
        <v>0.0013</v>
      </c>
    </row>
    <row r="27" customFormat="false" ht="15" hidden="false" customHeight="false" outlineLevel="0" collapsed="false">
      <c r="A27" s="15" t="s">
        <v>68</v>
      </c>
      <c r="B27" s="15"/>
      <c r="C27" s="15"/>
    </row>
    <row r="29" customFormat="false" ht="15" hidden="false" customHeight="false" outlineLevel="0" collapsed="false">
      <c r="A29" s="23" t="s">
        <v>69</v>
      </c>
    </row>
    <row r="30" customFormat="false" ht="15" hidden="false" customHeight="false" outlineLevel="0" collapsed="false">
      <c r="A30" s="29" t="s">
        <v>70</v>
      </c>
    </row>
    <row r="31" customFormat="false" ht="15" hidden="false" customHeight="false" outlineLevel="0" collapsed="false">
      <c r="A31" s="24" t="s">
        <v>71</v>
      </c>
      <c r="B31" s="24" t="s">
        <v>72</v>
      </c>
      <c r="C31" s="24" t="s">
        <v>73</v>
      </c>
    </row>
    <row r="32" customFormat="false" ht="15" hidden="false" customHeight="false" outlineLevel="0" collapsed="false">
      <c r="A32" s="25" t="s">
        <v>10</v>
      </c>
      <c r="B32" s="30" t="n">
        <v>0.4007</v>
      </c>
      <c r="C32" s="25" t="n">
        <v>7583</v>
      </c>
    </row>
    <row r="33" customFormat="false" ht="15" hidden="false" customHeight="false" outlineLevel="0" collapsed="false">
      <c r="A33" s="25" t="s">
        <v>14</v>
      </c>
      <c r="B33" s="30" t="n">
        <v>0.29</v>
      </c>
      <c r="C33" s="25" t="n">
        <v>7583</v>
      </c>
    </row>
    <row r="34" customFormat="false" ht="15" hidden="false" customHeight="false" outlineLevel="0" collapsed="false">
      <c r="A34" s="25" t="s">
        <v>74</v>
      </c>
      <c r="B34" s="30" t="n">
        <v>0.1044</v>
      </c>
      <c r="C34" s="25" t="n">
        <v>7390</v>
      </c>
    </row>
    <row r="35" customFormat="false" ht="15" hidden="false" customHeight="false" outlineLevel="0" collapsed="false">
      <c r="A35" s="25" t="s">
        <v>75</v>
      </c>
      <c r="B35" s="30" t="n">
        <v>0.0647</v>
      </c>
      <c r="C35" s="25" t="n">
        <v>7186</v>
      </c>
    </row>
    <row r="36" customFormat="false" ht="15" hidden="false" customHeight="false" outlineLevel="0" collapsed="false">
      <c r="A36" s="25" t="s">
        <v>76</v>
      </c>
      <c r="B36" s="30" t="n">
        <v>0.0446</v>
      </c>
      <c r="C36" s="25" t="n">
        <v>6983</v>
      </c>
    </row>
    <row r="37" customFormat="false" ht="15" hidden="false" customHeight="false" outlineLevel="0" collapsed="false">
      <c r="A37" s="25" t="s">
        <v>77</v>
      </c>
      <c r="B37" s="30" t="n">
        <v>0.0284</v>
      </c>
      <c r="C37" s="25" t="n">
        <v>6517</v>
      </c>
    </row>
    <row r="38" customFormat="false" ht="15" hidden="false" customHeight="false" outlineLevel="0" collapsed="false">
      <c r="A38" s="25" t="s">
        <v>78</v>
      </c>
      <c r="B38" s="30" t="n">
        <v>0.0249</v>
      </c>
      <c r="C38" s="25" t="n">
        <v>6394</v>
      </c>
    </row>
    <row r="39" customFormat="false" ht="15" hidden="false" customHeight="false" outlineLevel="0" collapsed="false">
      <c r="A39" s="25" t="s">
        <v>79</v>
      </c>
      <c r="B39" s="30" t="n">
        <v>0.0243</v>
      </c>
      <c r="C39" s="25" t="n">
        <v>6407</v>
      </c>
    </row>
    <row r="40" customFormat="false" ht="15" hidden="false" customHeight="false" outlineLevel="0" collapsed="false">
      <c r="A40" s="25" t="s">
        <v>80</v>
      </c>
      <c r="B40" s="30" t="n">
        <v>0.0169</v>
      </c>
      <c r="C40" s="25" t="n">
        <v>5764</v>
      </c>
    </row>
    <row r="41" customFormat="false" ht="15" hidden="false" customHeight="false" outlineLevel="0" collapsed="false">
      <c r="A41" s="25" t="s">
        <v>81</v>
      </c>
      <c r="B41" s="30" t="n">
        <v>0.0132</v>
      </c>
      <c r="C41" s="25" t="n">
        <v>5115</v>
      </c>
    </row>
    <row r="42" customFormat="false" ht="15" hidden="false" customHeight="false" outlineLevel="0" collapsed="false">
      <c r="A42" s="25" t="s">
        <v>82</v>
      </c>
      <c r="B42" s="30" t="n">
        <v>0.013</v>
      </c>
      <c r="C42" s="25" t="n">
        <v>5164</v>
      </c>
    </row>
    <row r="43" customFormat="false" ht="15" hidden="false" customHeight="false" outlineLevel="0" collapsed="false">
      <c r="A43" s="25" t="s">
        <v>83</v>
      </c>
      <c r="B43" s="30" t="n">
        <v>0.0129</v>
      </c>
      <c r="C43" s="25" t="n">
        <v>5135</v>
      </c>
    </row>
  </sheetData>
  <mergeCells count="10">
    <mergeCell ref="A1:H1"/>
    <mergeCell ref="A2:H2"/>
    <mergeCell ref="A4:B4"/>
    <mergeCell ref="D4:E4"/>
    <mergeCell ref="G4:H4"/>
    <mergeCell ref="A5:B6"/>
    <mergeCell ref="D5:E6"/>
    <mergeCell ref="G5:H6"/>
    <mergeCell ref="A8:H8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31" t="s">
        <v>84</v>
      </c>
    </row>
    <row r="2" customFormat="false" ht="15" hidden="false" customHeight="true" outlineLevel="0" collapsed="false">
      <c r="A2" s="32" t="s">
        <v>85</v>
      </c>
    </row>
    <row r="4" customFormat="false" ht="15" hidden="false" customHeight="true" outlineLevel="0" collapsed="false">
      <c r="A4" s="33" t="s">
        <v>86</v>
      </c>
    </row>
    <row r="5" customFormat="false" ht="15" hidden="false" customHeight="true" outlineLevel="0" collapsed="false">
      <c r="A5" s="18" t="s">
        <v>87</v>
      </c>
    </row>
    <row r="6" customFormat="false" ht="15" hidden="false" customHeight="true" outlineLevel="0" collapsed="false">
      <c r="A6" s="18" t="s">
        <v>88</v>
      </c>
    </row>
    <row r="7" customFormat="false" ht="15" hidden="false" customHeight="true" outlineLevel="0" collapsed="false">
      <c r="A7" s="18" t="s">
        <v>89</v>
      </c>
    </row>
    <row r="8" customFormat="false" ht="15" hidden="false" customHeight="true" outlineLevel="0" collapsed="false">
      <c r="A8" s="18" t="s">
        <v>90</v>
      </c>
    </row>
    <row r="9" customFormat="false" ht="15" hidden="false" customHeight="true" outlineLevel="0" collapsed="false">
      <c r="A9" s="18"/>
    </row>
    <row r="10" customFormat="false" ht="15" hidden="false" customHeight="true" outlineLevel="0" collapsed="false">
      <c r="A10" s="33" t="s">
        <v>91</v>
      </c>
    </row>
    <row r="11" customFormat="false" ht="15" hidden="false" customHeight="true" outlineLevel="0" collapsed="false">
      <c r="A11" s="18" t="s">
        <v>92</v>
      </c>
    </row>
    <row r="12" customFormat="false" ht="15" hidden="false" customHeight="true" outlineLevel="0" collapsed="false">
      <c r="A12" s="18" t="s">
        <v>93</v>
      </c>
    </row>
    <row r="13" customFormat="false" ht="15" hidden="false" customHeight="true" outlineLevel="0" collapsed="false">
      <c r="A13" s="18" t="s">
        <v>94</v>
      </c>
    </row>
    <row r="14" customFormat="false" ht="15" hidden="false" customHeight="true" outlineLevel="0" collapsed="false">
      <c r="A14" s="18" t="s">
        <v>95</v>
      </c>
    </row>
    <row r="15" customFormat="false" ht="15" hidden="false" customHeight="true" outlineLevel="0" collapsed="false">
      <c r="A15" s="18" t="s">
        <v>96</v>
      </c>
    </row>
    <row r="16" customFormat="false" ht="15" hidden="false" customHeight="true" outlineLevel="0" collapsed="false">
      <c r="A16" s="18" t="s">
        <v>97</v>
      </c>
    </row>
    <row r="17" customFormat="false" ht="15" hidden="false" customHeight="true" outlineLevel="0" collapsed="false">
      <c r="A17" s="18" t="s">
        <v>98</v>
      </c>
    </row>
    <row r="18" customFormat="false" ht="15" hidden="false" customHeight="true" outlineLevel="0" collapsed="false">
      <c r="A18" s="18" t="s">
        <v>99</v>
      </c>
    </row>
    <row r="19" customFormat="false" ht="15" hidden="false" customHeight="true" outlineLevel="0" collapsed="false">
      <c r="A19" s="18" t="s">
        <v>100</v>
      </c>
    </row>
    <row r="20" customFormat="false" ht="15" hidden="false" customHeight="true" outlineLevel="0" collapsed="false">
      <c r="A20" s="18"/>
    </row>
    <row r="21" customFormat="false" ht="15" hidden="false" customHeight="true" outlineLevel="0" collapsed="false">
      <c r="A21" s="33" t="s">
        <v>101</v>
      </c>
    </row>
    <row r="22" customFormat="false" ht="15" hidden="false" customHeight="true" outlineLevel="0" collapsed="false">
      <c r="A22" s="18" t="s">
        <v>102</v>
      </c>
    </row>
    <row r="23" customFormat="false" ht="15" hidden="false" customHeight="true" outlineLevel="0" collapsed="false">
      <c r="A23" s="18" t="s">
        <v>103</v>
      </c>
    </row>
    <row r="24" customFormat="false" ht="15" hidden="false" customHeight="true" outlineLevel="0" collapsed="false">
      <c r="A24" s="18" t="s">
        <v>104</v>
      </c>
    </row>
    <row r="25" customFormat="false" ht="15" hidden="false" customHeight="true" outlineLevel="0" collapsed="false">
      <c r="A25" s="18" t="s">
        <v>105</v>
      </c>
    </row>
    <row r="26" customFormat="false" ht="15" hidden="false" customHeight="true" outlineLevel="0" collapsed="false">
      <c r="A26" s="18" t="s">
        <v>106</v>
      </c>
    </row>
    <row r="27" customFormat="false" ht="15" hidden="false" customHeight="true" outlineLevel="0" collapsed="false">
      <c r="A27" s="18"/>
    </row>
    <row r="28" customFormat="false" ht="15" hidden="false" customHeight="true" outlineLevel="0" collapsed="false">
      <c r="A28" s="33" t="s">
        <v>107</v>
      </c>
    </row>
    <row r="29" customFormat="false" ht="15" hidden="false" customHeight="true" outlineLevel="0" collapsed="false">
      <c r="A29" s="18" t="s">
        <v>108</v>
      </c>
    </row>
    <row r="30" customFormat="false" ht="15" hidden="false" customHeight="true" outlineLevel="0" collapsed="false">
      <c r="A30" s="18" t="s">
        <v>109</v>
      </c>
    </row>
    <row r="31" customFormat="false" ht="15" hidden="false" customHeight="true" outlineLevel="0" collapsed="false">
      <c r="A31" s="18" t="s">
        <v>110</v>
      </c>
    </row>
    <row r="32" customFormat="false" ht="15" hidden="false" customHeight="true" outlineLevel="0" collapsed="false">
      <c r="A32" s="18" t="s">
        <v>111</v>
      </c>
    </row>
    <row r="33" customFormat="false" ht="15" hidden="false" customHeight="true" outlineLevel="0" collapsed="false">
      <c r="A33" s="18" t="s">
        <v>112</v>
      </c>
    </row>
    <row r="34" customFormat="false" ht="15" hidden="false" customHeight="true" outlineLevel="0" collapsed="false">
      <c r="A34" s="18" t="s">
        <v>113</v>
      </c>
    </row>
    <row r="35" customFormat="false" ht="15" hidden="false" customHeight="true" outlineLevel="0" collapsed="false">
      <c r="A35" s="18"/>
    </row>
    <row r="36" customFormat="false" ht="15" hidden="false" customHeight="true" outlineLevel="0" collapsed="false">
      <c r="A36" s="33" t="s">
        <v>114</v>
      </c>
    </row>
    <row r="37" customFormat="false" ht="15" hidden="false" customHeight="true" outlineLevel="0" collapsed="false">
      <c r="A37" s="18" t="s">
        <v>115</v>
      </c>
    </row>
    <row r="38" customFormat="false" ht="15" hidden="false" customHeight="true" outlineLevel="0" collapsed="false">
      <c r="A38" s="18" t="s">
        <v>116</v>
      </c>
    </row>
    <row r="39" customFormat="false" ht="15" hidden="false" customHeight="true" outlineLevel="0" collapsed="false">
      <c r="A39" s="18" t="s">
        <v>117</v>
      </c>
    </row>
    <row r="40" customFormat="false" ht="15" hidden="false" customHeight="true" outlineLevel="0" collapsed="false">
      <c r="A40" s="18" t="s">
        <v>118</v>
      </c>
    </row>
    <row r="41" customFormat="false" ht="15" hidden="false" customHeight="true" outlineLevel="0" collapsed="false">
      <c r="A41" s="18" t="s">
        <v>119</v>
      </c>
    </row>
    <row r="42" customFormat="false" ht="15" hidden="false" customHeight="true" outlineLevel="0" collapsed="false">
      <c r="A42" s="18" t="s">
        <v>120</v>
      </c>
    </row>
    <row r="43" customFormat="false" ht="15" hidden="false" customHeight="true" outlineLevel="0" collapsed="false">
      <c r="A43" s="18"/>
    </row>
    <row r="44" customFormat="false" ht="15" hidden="false" customHeight="true" outlineLevel="0" collapsed="false">
      <c r="A44" s="33" t="s">
        <v>121</v>
      </c>
    </row>
    <row r="45" customFormat="false" ht="15" hidden="false" customHeight="true" outlineLevel="0" collapsed="false">
      <c r="A45" s="18" t="s">
        <v>122</v>
      </c>
    </row>
    <row r="46" customFormat="false" ht="15" hidden="false" customHeight="true" outlineLevel="0" collapsed="false">
      <c r="A46" s="18" t="s">
        <v>123</v>
      </c>
    </row>
    <row r="47" customFormat="false" ht="15" hidden="false" customHeight="true" outlineLevel="0" collapsed="false">
      <c r="A47" s="18" t="s">
        <v>124</v>
      </c>
    </row>
    <row r="48" customFormat="false" ht="15" hidden="false" customHeight="true" outlineLevel="0" collapsed="false">
      <c r="A48" s="18" t="s">
        <v>125</v>
      </c>
    </row>
    <row r="49" customFormat="false" ht="15" hidden="false" customHeight="true" outlineLevel="0" collapsed="false">
      <c r="A49" s="18"/>
    </row>
    <row r="50" customFormat="false" ht="15" hidden="false" customHeight="true" outlineLevel="0" collapsed="false">
      <c r="A50" s="33" t="s">
        <v>126</v>
      </c>
    </row>
    <row r="51" customFormat="false" ht="15" hidden="false" customHeight="true" outlineLevel="0" collapsed="false">
      <c r="A51" s="18" t="s">
        <v>127</v>
      </c>
    </row>
    <row r="52" customFormat="false" ht="15" hidden="false" customHeight="true" outlineLevel="0" collapsed="false">
      <c r="A52" s="18" t="s">
        <v>128</v>
      </c>
    </row>
    <row r="53" customFormat="false" ht="15" hidden="false" customHeight="true" outlineLevel="0" collapsed="false">
      <c r="A53" s="18"/>
    </row>
    <row r="54" customFormat="false" ht="15" hidden="false" customHeight="true" outlineLevel="0" collapsed="false">
      <c r="A54" s="33" t="s">
        <v>129</v>
      </c>
    </row>
    <row r="55" customFormat="false" ht="15" hidden="false" customHeight="true" outlineLevel="0" collapsed="false">
      <c r="A55" s="18" t="s">
        <v>130</v>
      </c>
    </row>
    <row r="56" customFormat="false" ht="15" hidden="false" customHeight="true" outlineLevel="0" collapsed="false">
      <c r="A56" s="18" t="s">
        <v>131</v>
      </c>
    </row>
    <row r="57" customFormat="false" ht="15" hidden="false" customHeight="true" outlineLevel="0" collapsed="false">
      <c r="A57" s="18" t="s">
        <v>132</v>
      </c>
    </row>
    <row r="59" customFormat="false" ht="15" hidden="false" customHeight="false" outlineLevel="0" collapsed="false">
      <c r="A59" s="34" t="s">
        <v>133</v>
      </c>
    </row>
    <row r="60" customFormat="false" ht="15" hidden="false" customHeight="false" outlineLevel="0" collapsed="false">
      <c r="A60" s="35" t="s">
        <v>134</v>
      </c>
    </row>
    <row r="61" customFormat="false" ht="15" hidden="false" customHeight="false" outlineLevel="0" collapsed="false">
      <c r="A61" s="35" t="s">
        <v>135</v>
      </c>
    </row>
    <row r="62" customFormat="false" ht="15" hidden="false" customHeight="false" outlineLevel="0" collapsed="false">
      <c r="A62" s="35" t="s">
        <v>136</v>
      </c>
    </row>
    <row r="63" customFormat="false" ht="15" hidden="false" customHeight="false" outlineLevel="0" collapsed="false">
      <c r="A63" s="35" t="s">
        <v>137</v>
      </c>
    </row>
    <row r="64" customFormat="false" ht="15" hidden="false" customHeight="false" outlineLevel="0" collapsed="false">
      <c r="A64" s="35" t="s">
        <v>138</v>
      </c>
    </row>
    <row r="65" customFormat="false" ht="15" hidden="false" customHeight="false" outlineLevel="0" collapsed="false">
      <c r="A65" s="35" t="s">
        <v>139</v>
      </c>
    </row>
    <row r="66" customFormat="false" ht="15" hidden="false" customHeight="false" outlineLevel="0" collapsed="false">
      <c r="A66" s="35" t="s">
        <v>140</v>
      </c>
    </row>
    <row r="67" customFormat="false" ht="15" hidden="false" customHeight="false" outlineLevel="0" collapsed="false">
      <c r="A67" s="35" t="s">
        <v>141</v>
      </c>
    </row>
    <row r="68" customFormat="false" ht="15" hidden="false" customHeight="false" outlineLevel="0" collapsed="false">
      <c r="A68" s="35" t="s">
        <v>142</v>
      </c>
    </row>
    <row r="69" customFormat="false" ht="15" hidden="false" customHeight="false" outlineLevel="0" collapsed="false">
      <c r="A69" s="3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20"/>
  </cols>
  <sheetData>
    <row r="1" customFormat="false" ht="17.25" hidden="false" customHeight="true" outlineLevel="0" collapsed="false">
      <c r="A1" s="36" t="s">
        <v>144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customFormat="false" ht="15" hidden="false" customHeight="true" outlineLevel="0" collapsed="false">
      <c r="A2" s="37" t="s">
        <v>145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customFormat="false" ht="23.25" hidden="false" customHeight="true" outlineLevel="0" collapsed="false">
      <c r="A4" s="5" t="s">
        <v>146</v>
      </c>
      <c r="B4" s="5" t="s">
        <v>147</v>
      </c>
      <c r="C4" s="5" t="s">
        <v>148</v>
      </c>
      <c r="D4" s="5" t="s">
        <v>149</v>
      </c>
      <c r="E4" s="5" t="s">
        <v>16</v>
      </c>
      <c r="F4" s="5" t="s">
        <v>150</v>
      </c>
      <c r="G4" s="5" t="s">
        <v>151</v>
      </c>
    </row>
    <row r="5" customFormat="false" ht="15" hidden="false" customHeight="true" outlineLevel="0" collapsed="false">
      <c r="A5" s="6" t="s">
        <v>10</v>
      </c>
      <c r="B5" s="38" t="n">
        <v>318</v>
      </c>
      <c r="C5" s="38" t="n">
        <v>293</v>
      </c>
      <c r="D5" s="38" t="n">
        <v>255</v>
      </c>
      <c r="E5" s="38" t="n">
        <v>240</v>
      </c>
      <c r="F5" s="38" t="n">
        <v>260</v>
      </c>
      <c r="G5" s="38" t="n">
        <v>235</v>
      </c>
    </row>
    <row r="6" customFormat="false" ht="15" hidden="false" customHeight="true" outlineLevel="0" collapsed="false">
      <c r="A6" s="6" t="s">
        <v>14</v>
      </c>
      <c r="B6" s="38" t="n">
        <v>206</v>
      </c>
      <c r="C6" s="38" t="n">
        <v>234</v>
      </c>
      <c r="D6" s="38" t="n">
        <v>260</v>
      </c>
      <c r="E6" s="38" t="n">
        <v>230</v>
      </c>
      <c r="F6" s="38" t="n">
        <v>245</v>
      </c>
      <c r="G6" s="38" t="n">
        <v>260</v>
      </c>
    </row>
    <row r="7" customFormat="false" ht="15" hidden="false" customHeight="true" outlineLevel="0" collapsed="false">
      <c r="A7" s="6" t="s">
        <v>74</v>
      </c>
      <c r="B7" s="38" t="n">
        <v>4</v>
      </c>
      <c r="C7" s="38" t="n">
        <v>4</v>
      </c>
      <c r="D7" s="38" t="n">
        <v>10</v>
      </c>
      <c r="E7" s="38" t="n">
        <v>25</v>
      </c>
      <c r="F7" s="38" t="n">
        <v>20</v>
      </c>
      <c r="G7" s="38" t="n">
        <v>16</v>
      </c>
    </row>
    <row r="8" customFormat="false" ht="15" hidden="false" customHeight="true" outlineLevel="0" collapsed="false">
      <c r="A8" s="6" t="s">
        <v>75</v>
      </c>
      <c r="B8" s="38" t="n">
        <v>3</v>
      </c>
      <c r="C8" s="38" t="n">
        <v>3</v>
      </c>
      <c r="D8" s="38" t="n">
        <v>6</v>
      </c>
      <c r="E8" s="38" t="n">
        <v>12</v>
      </c>
      <c r="F8" s="38" t="n">
        <v>6</v>
      </c>
      <c r="G8" s="38" t="n">
        <v>8</v>
      </c>
    </row>
    <row r="9" customFormat="false" ht="15" hidden="false" customHeight="true" outlineLevel="0" collapsed="false">
      <c r="A9" s="6" t="s">
        <v>78</v>
      </c>
      <c r="B9" s="38" t="n">
        <v>2</v>
      </c>
      <c r="C9" s="38" t="n">
        <v>2</v>
      </c>
      <c r="D9" s="38" t="n">
        <v>4</v>
      </c>
      <c r="E9" s="38"/>
      <c r="F9" s="38" t="n">
        <v>3</v>
      </c>
      <c r="G9" s="38" t="n">
        <v>4</v>
      </c>
    </row>
    <row r="10" customFormat="false" ht="15" hidden="false" customHeight="true" outlineLevel="0" collapsed="false">
      <c r="A10" s="6" t="s">
        <v>77</v>
      </c>
      <c r="B10" s="38" t="n">
        <v>1</v>
      </c>
      <c r="C10" s="38" t="n">
        <v>1</v>
      </c>
      <c r="D10" s="38" t="n">
        <v>2</v>
      </c>
      <c r="E10" s="38" t="n">
        <v>5</v>
      </c>
      <c r="F10" s="38" t="n">
        <v>2</v>
      </c>
      <c r="G10" s="38" t="n">
        <v>3</v>
      </c>
    </row>
    <row r="11" customFormat="false" ht="15" hidden="false" customHeight="true" outlineLevel="0" collapsed="false">
      <c r="A11" s="6" t="s">
        <v>80</v>
      </c>
      <c r="B11" s="38" t="n">
        <v>1</v>
      </c>
      <c r="C11" s="38" t="n">
        <v>1</v>
      </c>
      <c r="D11" s="38" t="n">
        <v>2</v>
      </c>
      <c r="E11" s="38"/>
      <c r="F11" s="38" t="n">
        <v>2</v>
      </c>
      <c r="G11" s="38" t="n">
        <v>2</v>
      </c>
    </row>
    <row r="12" customFormat="false" ht="15" hidden="false" customHeight="true" outlineLevel="0" collapsed="false">
      <c r="A12" s="6" t="s">
        <v>79</v>
      </c>
      <c r="B12" s="38" t="n">
        <v>1</v>
      </c>
      <c r="C12" s="38" t="n">
        <v>1</v>
      </c>
      <c r="D12" s="38" t="n">
        <v>2</v>
      </c>
      <c r="E12" s="38"/>
      <c r="F12" s="38" t="n">
        <v>2</v>
      </c>
      <c r="G12" s="38" t="n">
        <v>2</v>
      </c>
    </row>
    <row r="13" customFormat="false" ht="15" hidden="false" customHeight="true" outlineLevel="0" collapsed="false">
      <c r="A13" s="6" t="s">
        <v>81</v>
      </c>
      <c r="B13" s="38" t="n">
        <v>1</v>
      </c>
      <c r="C13" s="38" t="n">
        <v>1</v>
      </c>
      <c r="D13" s="38" t="n">
        <v>1</v>
      </c>
      <c r="E13" s="38"/>
      <c r="F13" s="38" t="n">
        <v>1</v>
      </c>
      <c r="G13" s="38" t="n">
        <v>2</v>
      </c>
    </row>
    <row r="14" customFormat="false" ht="15" hidden="false" customHeight="true" outlineLevel="0" collapsed="false">
      <c r="A14" s="6" t="s">
        <v>83</v>
      </c>
      <c r="B14" s="38" t="n">
        <v>1</v>
      </c>
      <c r="C14" s="38" t="n">
        <v>1</v>
      </c>
      <c r="D14" s="38" t="n">
        <v>1</v>
      </c>
      <c r="E14" s="38"/>
      <c r="F14" s="38" t="n">
        <v>1</v>
      </c>
      <c r="G14" s="38" t="n">
        <v>2</v>
      </c>
    </row>
    <row r="15" customFormat="false" ht="15" hidden="false" customHeight="true" outlineLevel="0" collapsed="false">
      <c r="A15" s="6" t="s">
        <v>82</v>
      </c>
      <c r="B15" s="38" t="n">
        <v>1</v>
      </c>
      <c r="C15" s="38" t="n">
        <v>1</v>
      </c>
      <c r="D15" s="38"/>
      <c r="E15" s="38"/>
      <c r="F15" s="38" t="n">
        <v>1</v>
      </c>
      <c r="G15" s="38" t="n">
        <v>2</v>
      </c>
    </row>
    <row r="16" customFormat="false" ht="15" hidden="false" customHeight="true" outlineLevel="0" collapsed="false">
      <c r="A16" s="6" t="s">
        <v>76</v>
      </c>
      <c r="B16" s="38" t="n">
        <v>1</v>
      </c>
      <c r="C16" s="38" t="n">
        <v>1</v>
      </c>
      <c r="D16" s="38"/>
      <c r="E16" s="38"/>
      <c r="F16" s="38"/>
      <c r="G16" s="38" t="n">
        <v>7</v>
      </c>
    </row>
    <row r="17" customFormat="false" ht="15" hidden="false" customHeight="true" outlineLevel="0" collapsed="false">
      <c r="A17" s="6" t="s">
        <v>152</v>
      </c>
      <c r="B17" s="38" t="n">
        <v>3</v>
      </c>
      <c r="C17" s="38"/>
      <c r="D17" s="38"/>
      <c r="E17" s="38"/>
      <c r="F17" s="38"/>
      <c r="G17" s="38"/>
    </row>
    <row r="18" customFormat="false" ht="15" hidden="false" customHeight="true" outlineLevel="0" collapsed="false">
      <c r="A18" s="6" t="s">
        <v>153</v>
      </c>
      <c r="B18" s="38"/>
      <c r="C18" s="38"/>
      <c r="D18" s="38"/>
      <c r="E18" s="38" t="n">
        <v>15</v>
      </c>
      <c r="F18" s="38"/>
      <c r="G18" s="38"/>
    </row>
    <row r="19" customFormat="false" ht="15" hidden="false" customHeight="true" outlineLevel="0" collapsed="false">
      <c r="A19" s="6" t="s">
        <v>154</v>
      </c>
      <c r="B19" s="38"/>
      <c r="C19" s="38"/>
      <c r="D19" s="38"/>
      <c r="E19" s="38" t="n">
        <v>16</v>
      </c>
      <c r="F19" s="38"/>
      <c r="G19" s="38"/>
    </row>
    <row r="20" customFormat="false" ht="15" hidden="false" customHeight="true" outlineLevel="0" collapsed="false">
      <c r="A20" s="39" t="s">
        <v>155</v>
      </c>
      <c r="B20" s="40" t="n">
        <f aca="false">SUM(B5:B19)</f>
        <v>543</v>
      </c>
      <c r="C20" s="40" t="n">
        <f aca="false">SUM(C5:C19)</f>
        <v>543</v>
      </c>
      <c r="D20" s="40" t="n">
        <f aca="false">SUM(D5:D19)</f>
        <v>543</v>
      </c>
      <c r="E20" s="40" t="n">
        <f aca="false">SUM(E5:E19)</f>
        <v>543</v>
      </c>
      <c r="F20" s="40" t="n">
        <f aca="false">SUM(F5:F19)</f>
        <v>543</v>
      </c>
      <c r="G20" s="40" t="n">
        <f aca="false">SUM(G5:G19)</f>
        <v>543</v>
      </c>
    </row>
    <row r="21" customFormat="false" ht="30" hidden="false" customHeight="true" outlineLevel="0" collapsed="false">
      <c r="A21" s="33" t="s">
        <v>156</v>
      </c>
      <c r="B21" s="41" t="s">
        <v>157</v>
      </c>
      <c r="C21" s="41" t="s">
        <v>157</v>
      </c>
      <c r="D21" s="42" t="s">
        <v>15</v>
      </c>
      <c r="E21" s="42" t="s">
        <v>15</v>
      </c>
      <c r="F21" s="42" t="s">
        <v>15</v>
      </c>
      <c r="G21" s="42" t="s">
        <v>15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36" t="s">
        <v>158</v>
      </c>
      <c r="B1" s="36"/>
      <c r="C1" s="36"/>
      <c r="D1" s="36"/>
      <c r="E1" s="36"/>
    </row>
    <row r="2" customFormat="false" ht="15" hidden="false" customHeight="true" outlineLevel="0" collapsed="false">
      <c r="A2" s="37" t="s">
        <v>159</v>
      </c>
      <c r="B2" s="37"/>
      <c r="C2" s="37"/>
      <c r="D2" s="37"/>
      <c r="E2" s="37"/>
    </row>
    <row r="4" customFormat="false" ht="15" hidden="false" customHeight="true" outlineLevel="0" collapsed="false">
      <c r="A4" s="43" t="s">
        <v>147</v>
      </c>
      <c r="B4" s="43"/>
      <c r="C4" s="43"/>
      <c r="D4" s="43"/>
      <c r="E4" s="43"/>
    </row>
    <row r="5" customFormat="false" ht="15" hidden="false" customHeight="true" outlineLevel="0" collapsed="false">
      <c r="A5" s="44" t="s">
        <v>160</v>
      </c>
      <c r="B5" s="44" t="s">
        <v>161</v>
      </c>
      <c r="C5" s="44" t="s">
        <v>162</v>
      </c>
      <c r="D5" s="44" t="s">
        <v>163</v>
      </c>
      <c r="E5" s="44" t="s">
        <v>164</v>
      </c>
    </row>
    <row r="6" customFormat="false" ht="15" hidden="false" customHeight="true" outlineLevel="0" collapsed="false">
      <c r="A6" s="6" t="n">
        <v>1</v>
      </c>
      <c r="B6" s="6" t="s">
        <v>10</v>
      </c>
      <c r="C6" s="6" t="n">
        <v>318</v>
      </c>
      <c r="D6" s="6" t="n">
        <v>46</v>
      </c>
      <c r="E6" s="6" t="n">
        <v>1</v>
      </c>
    </row>
    <row r="9" customFormat="false" ht="15" hidden="false" customHeight="true" outlineLevel="0" collapsed="false">
      <c r="A9" s="43" t="s">
        <v>148</v>
      </c>
      <c r="B9" s="43"/>
      <c r="C9" s="43"/>
      <c r="D9" s="43"/>
      <c r="E9" s="43"/>
    </row>
    <row r="10" customFormat="false" ht="15" hidden="false" customHeight="true" outlineLevel="0" collapsed="false">
      <c r="A10" s="44" t="s">
        <v>160</v>
      </c>
      <c r="B10" s="44" t="s">
        <v>161</v>
      </c>
      <c r="C10" s="44" t="s">
        <v>162</v>
      </c>
      <c r="D10" s="44" t="s">
        <v>163</v>
      </c>
      <c r="E10" s="44" t="s">
        <v>164</v>
      </c>
    </row>
    <row r="11" customFormat="false" ht="15" hidden="false" customHeight="true" outlineLevel="0" collapsed="false">
      <c r="A11" s="6" t="n">
        <v>1</v>
      </c>
      <c r="B11" s="6" t="s">
        <v>10</v>
      </c>
      <c r="C11" s="6" t="n">
        <v>293</v>
      </c>
      <c r="D11" s="6" t="n">
        <v>21</v>
      </c>
      <c r="E11" s="6" t="n">
        <v>1</v>
      </c>
    </row>
    <row r="14" customFormat="false" ht="15" hidden="false" customHeight="true" outlineLevel="0" collapsed="false">
      <c r="A14" s="43" t="s">
        <v>149</v>
      </c>
      <c r="B14" s="43"/>
      <c r="C14" s="43"/>
      <c r="D14" s="43"/>
      <c r="E14" s="43"/>
    </row>
    <row r="15" customFormat="false" ht="15" hidden="false" customHeight="true" outlineLevel="0" collapsed="false">
      <c r="A15" s="44" t="s">
        <v>160</v>
      </c>
      <c r="B15" s="44" t="s">
        <v>161</v>
      </c>
      <c r="C15" s="44" t="s">
        <v>162</v>
      </c>
      <c r="D15" s="44" t="s">
        <v>163</v>
      </c>
      <c r="E15" s="44" t="s">
        <v>164</v>
      </c>
    </row>
    <row r="16" customFormat="false" ht="15" hidden="false" customHeight="true" outlineLevel="0" collapsed="false">
      <c r="A16" s="6" t="n">
        <v>1</v>
      </c>
      <c r="B16" s="6" t="s">
        <v>165</v>
      </c>
      <c r="C16" s="6" t="n">
        <v>515</v>
      </c>
      <c r="D16" s="6" t="n">
        <v>243</v>
      </c>
      <c r="E16" s="6" t="n">
        <v>2</v>
      </c>
    </row>
    <row r="17" customFormat="false" ht="15" hidden="false" customHeight="true" outlineLevel="0" collapsed="false">
      <c r="A17" s="6" t="n">
        <v>2</v>
      </c>
      <c r="B17" s="6" t="s">
        <v>166</v>
      </c>
      <c r="C17" s="6" t="n">
        <v>272</v>
      </c>
      <c r="D17" s="6" t="n">
        <v>0</v>
      </c>
      <c r="E17" s="6" t="n">
        <v>3</v>
      </c>
    </row>
    <row r="18" customFormat="false" ht="15" hidden="false" customHeight="true" outlineLevel="0" collapsed="false">
      <c r="A18" s="6" t="n">
        <v>3</v>
      </c>
      <c r="B18" s="6" t="s">
        <v>167</v>
      </c>
      <c r="C18" s="6" t="n">
        <v>272</v>
      </c>
      <c r="D18" s="6" t="n">
        <v>0</v>
      </c>
      <c r="E18" s="6" t="n">
        <v>3</v>
      </c>
    </row>
    <row r="19" customFormat="false" ht="15" hidden="false" customHeight="true" outlineLevel="0" collapsed="false">
      <c r="A19" s="6" t="n">
        <v>4</v>
      </c>
      <c r="B19" s="6" t="s">
        <v>168</v>
      </c>
      <c r="C19" s="6" t="n">
        <v>272</v>
      </c>
      <c r="D19" s="6" t="n">
        <v>0</v>
      </c>
      <c r="E19" s="6" t="n">
        <v>3</v>
      </c>
    </row>
    <row r="20" customFormat="false" ht="15" hidden="false" customHeight="true" outlineLevel="0" collapsed="false">
      <c r="A20" s="6" t="n">
        <v>5</v>
      </c>
      <c r="B20" s="6" t="s">
        <v>169</v>
      </c>
      <c r="C20" s="6" t="n">
        <v>274</v>
      </c>
      <c r="D20" s="6" t="n">
        <v>2</v>
      </c>
      <c r="E20" s="6" t="n">
        <v>3</v>
      </c>
    </row>
    <row r="21" customFormat="false" ht="15" hidden="false" customHeight="true" outlineLevel="0" collapsed="false">
      <c r="A21" s="6" t="n">
        <v>6</v>
      </c>
      <c r="B21" s="6" t="s">
        <v>170</v>
      </c>
      <c r="C21" s="6" t="n">
        <v>276</v>
      </c>
      <c r="D21" s="6" t="n">
        <v>4</v>
      </c>
      <c r="E21" s="6" t="n">
        <v>3</v>
      </c>
    </row>
    <row r="22" customFormat="false" ht="15" hidden="false" customHeight="true" outlineLevel="0" collapsed="false">
      <c r="A22" s="6" t="n">
        <v>7</v>
      </c>
      <c r="B22" s="6" t="s">
        <v>171</v>
      </c>
      <c r="C22" s="6" t="n">
        <v>272</v>
      </c>
      <c r="D22" s="6" t="n">
        <v>0</v>
      </c>
      <c r="E22" s="6" t="n">
        <v>4</v>
      </c>
    </row>
    <row r="23" customFormat="false" ht="15" hidden="false" customHeight="true" outlineLevel="0" collapsed="false">
      <c r="A23" s="6" t="n">
        <v>8</v>
      </c>
      <c r="B23" s="6" t="s">
        <v>172</v>
      </c>
      <c r="C23" s="6" t="n">
        <v>272</v>
      </c>
      <c r="D23" s="6" t="n">
        <v>0</v>
      </c>
      <c r="E23" s="6" t="n">
        <v>4</v>
      </c>
    </row>
    <row r="24" customFormat="false" ht="15" hidden="false" customHeight="true" outlineLevel="0" collapsed="false">
      <c r="A24" s="6" t="n">
        <v>9</v>
      </c>
      <c r="B24" s="6" t="s">
        <v>173</v>
      </c>
      <c r="C24" s="6" t="n">
        <v>272</v>
      </c>
      <c r="D24" s="6" t="n">
        <v>0</v>
      </c>
      <c r="E24" s="6" t="n">
        <v>4</v>
      </c>
    </row>
    <row r="25" customFormat="false" ht="15" hidden="false" customHeight="true" outlineLevel="0" collapsed="false">
      <c r="A25" s="6" t="n">
        <v>10</v>
      </c>
      <c r="B25" s="6" t="s">
        <v>174</v>
      </c>
      <c r="C25" s="6" t="n">
        <v>272</v>
      </c>
      <c r="D25" s="6" t="n">
        <v>0</v>
      </c>
      <c r="E25" s="6" t="n">
        <v>4</v>
      </c>
    </row>
    <row r="26" customFormat="false" ht="15" hidden="false" customHeight="true" outlineLevel="0" collapsed="false">
      <c r="A26" s="6" t="n">
        <v>11</v>
      </c>
      <c r="B26" s="6" t="s">
        <v>175</v>
      </c>
      <c r="C26" s="6" t="n">
        <v>272</v>
      </c>
      <c r="D26" s="6" t="n">
        <v>0</v>
      </c>
      <c r="E26" s="6" t="n">
        <v>4</v>
      </c>
    </row>
    <row r="27" customFormat="false" ht="15" hidden="false" customHeight="true" outlineLevel="0" collapsed="false">
      <c r="A27" s="6" t="n">
        <v>12</v>
      </c>
      <c r="B27" s="6" t="s">
        <v>176</v>
      </c>
      <c r="C27" s="6" t="n">
        <v>272</v>
      </c>
      <c r="D27" s="6" t="n">
        <v>0</v>
      </c>
      <c r="E27" s="6" t="n">
        <v>4</v>
      </c>
    </row>
    <row r="28" customFormat="false" ht="15" hidden="false" customHeight="true" outlineLevel="0" collapsed="false">
      <c r="A28" s="6" t="n">
        <v>13</v>
      </c>
      <c r="B28" s="6" t="s">
        <v>177</v>
      </c>
      <c r="C28" s="6" t="n">
        <v>273</v>
      </c>
      <c r="D28" s="6" t="n">
        <v>1</v>
      </c>
      <c r="E28" s="6" t="n">
        <v>4</v>
      </c>
    </row>
    <row r="29" customFormat="false" ht="15" hidden="false" customHeight="true" outlineLevel="0" collapsed="false">
      <c r="A29" s="6" t="n">
        <v>14</v>
      </c>
      <c r="B29" s="6" t="s">
        <v>178</v>
      </c>
      <c r="C29" s="6" t="n">
        <v>273</v>
      </c>
      <c r="D29" s="6" t="n">
        <v>1</v>
      </c>
      <c r="E29" s="6" t="n">
        <v>4</v>
      </c>
    </row>
    <row r="30" customFormat="false" ht="15" hidden="false" customHeight="true" outlineLevel="0" collapsed="false">
      <c r="A30" s="6" t="n">
        <v>15</v>
      </c>
      <c r="B30" s="6" t="s">
        <v>179</v>
      </c>
      <c r="C30" s="6" t="n">
        <v>273</v>
      </c>
      <c r="D30" s="6" t="n">
        <v>1</v>
      </c>
      <c r="E30" s="6" t="n">
        <v>4</v>
      </c>
    </row>
    <row r="31" customFormat="false" ht="15" hidden="false" customHeight="true" outlineLevel="0" collapsed="false">
      <c r="A31" s="6" t="n">
        <v>16</v>
      </c>
      <c r="B31" s="6" t="s">
        <v>180</v>
      </c>
      <c r="C31" s="6" t="n">
        <v>275</v>
      </c>
      <c r="D31" s="6" t="n">
        <v>3</v>
      </c>
      <c r="E31" s="6" t="n">
        <v>4</v>
      </c>
    </row>
    <row r="32" customFormat="false" ht="15" hidden="false" customHeight="true" outlineLevel="0" collapsed="false">
      <c r="A32" s="6" t="n">
        <v>17</v>
      </c>
      <c r="B32" s="6" t="s">
        <v>181</v>
      </c>
      <c r="C32" s="6" t="n">
        <v>272</v>
      </c>
      <c r="D32" s="6" t="n">
        <v>0</v>
      </c>
      <c r="E32" s="6" t="n">
        <v>5</v>
      </c>
    </row>
    <row r="33" customFormat="false" ht="15" hidden="false" customHeight="true" outlineLevel="0" collapsed="false">
      <c r="A33" s="6" t="n">
        <v>18</v>
      </c>
      <c r="B33" s="6" t="s">
        <v>182</v>
      </c>
      <c r="C33" s="6" t="n">
        <v>272</v>
      </c>
      <c r="D33" s="6" t="n">
        <v>0</v>
      </c>
      <c r="E33" s="6" t="n">
        <v>5</v>
      </c>
    </row>
    <row r="34" customFormat="false" ht="15" hidden="false" customHeight="true" outlineLevel="0" collapsed="false">
      <c r="A34" s="6" t="n">
        <v>19</v>
      </c>
      <c r="B34" s="6" t="s">
        <v>183</v>
      </c>
      <c r="C34" s="6" t="n">
        <v>272</v>
      </c>
      <c r="D34" s="6" t="n">
        <v>0</v>
      </c>
      <c r="E34" s="6" t="n">
        <v>5</v>
      </c>
    </row>
    <row r="35" customFormat="false" ht="15" hidden="false" customHeight="true" outlineLevel="0" collapsed="false">
      <c r="A35" s="6" t="n">
        <v>20</v>
      </c>
      <c r="B35" s="6" t="s">
        <v>184</v>
      </c>
      <c r="C35" s="6" t="n">
        <v>272</v>
      </c>
      <c r="D35" s="6" t="n">
        <v>0</v>
      </c>
      <c r="E35" s="6" t="n">
        <v>5</v>
      </c>
    </row>
    <row r="36" customFormat="false" ht="15" hidden="false" customHeight="true" outlineLevel="0" collapsed="false">
      <c r="A36" s="37" t="s">
        <v>185</v>
      </c>
      <c r="B36" s="37"/>
      <c r="C36" s="37"/>
      <c r="D36" s="37"/>
      <c r="E36" s="37"/>
    </row>
    <row r="39" customFormat="false" ht="15" hidden="false" customHeight="true" outlineLevel="0" collapsed="false">
      <c r="A39" s="43" t="s">
        <v>16</v>
      </c>
      <c r="B39" s="43"/>
      <c r="C39" s="43"/>
      <c r="D39" s="43"/>
      <c r="E39" s="43"/>
    </row>
    <row r="40" customFormat="false" ht="15" hidden="false" customHeight="true" outlineLevel="0" collapsed="false">
      <c r="A40" s="44" t="s">
        <v>160</v>
      </c>
      <c r="B40" s="44" t="s">
        <v>161</v>
      </c>
      <c r="C40" s="44" t="s">
        <v>162</v>
      </c>
      <c r="D40" s="44" t="s">
        <v>163</v>
      </c>
      <c r="E40" s="44" t="s">
        <v>164</v>
      </c>
    </row>
    <row r="41" customFormat="false" ht="15" hidden="false" customHeight="true" outlineLevel="0" collapsed="false">
      <c r="A41" s="6" t="n">
        <v>1</v>
      </c>
      <c r="B41" s="6" t="s">
        <v>165</v>
      </c>
      <c r="C41" s="6" t="n">
        <v>470</v>
      </c>
      <c r="D41" s="6" t="n">
        <v>198</v>
      </c>
      <c r="E41" s="6" t="n">
        <v>2</v>
      </c>
    </row>
    <row r="42" customFormat="false" ht="15" hidden="false" customHeight="true" outlineLevel="0" collapsed="false">
      <c r="A42" s="6" t="n">
        <v>2</v>
      </c>
      <c r="B42" s="6" t="s">
        <v>186</v>
      </c>
      <c r="C42" s="6" t="n">
        <v>281</v>
      </c>
      <c r="D42" s="6" t="n">
        <v>9</v>
      </c>
      <c r="E42" s="6" t="n">
        <v>3</v>
      </c>
    </row>
    <row r="43" customFormat="false" ht="15" hidden="false" customHeight="true" outlineLevel="0" collapsed="false">
      <c r="A43" s="6" t="n">
        <v>3</v>
      </c>
      <c r="B43" s="6" t="s">
        <v>187</v>
      </c>
      <c r="C43" s="6" t="n">
        <v>280</v>
      </c>
      <c r="D43" s="6" t="n">
        <v>8</v>
      </c>
      <c r="E43" s="6" t="n">
        <v>3</v>
      </c>
    </row>
    <row r="44" customFormat="false" ht="15" hidden="false" customHeight="true" outlineLevel="0" collapsed="false">
      <c r="A44" s="6" t="n">
        <v>4</v>
      </c>
      <c r="B44" s="6" t="s">
        <v>188</v>
      </c>
      <c r="C44" s="6" t="n">
        <v>277</v>
      </c>
      <c r="D44" s="6" t="n">
        <v>5</v>
      </c>
      <c r="E44" s="6" t="n">
        <v>3</v>
      </c>
    </row>
    <row r="45" customFormat="false" ht="15" hidden="false" customHeight="true" outlineLevel="0" collapsed="false">
      <c r="A45" s="6" t="n">
        <v>5</v>
      </c>
      <c r="B45" s="6" t="s">
        <v>189</v>
      </c>
      <c r="C45" s="6" t="n">
        <v>286</v>
      </c>
      <c r="D45" s="6" t="n">
        <v>14</v>
      </c>
      <c r="E45" s="6" t="n">
        <v>4</v>
      </c>
    </row>
    <row r="46" customFormat="false" ht="15" hidden="false" customHeight="true" outlineLevel="0" collapsed="false">
      <c r="A46" s="6" t="n">
        <v>6</v>
      </c>
      <c r="B46" s="6" t="s">
        <v>190</v>
      </c>
      <c r="C46" s="6" t="n">
        <v>283</v>
      </c>
      <c r="D46" s="6" t="n">
        <v>11</v>
      </c>
      <c r="E46" s="6" t="n">
        <v>4</v>
      </c>
    </row>
    <row r="47" customFormat="false" ht="15" hidden="false" customHeight="true" outlineLevel="0" collapsed="false">
      <c r="A47" s="6" t="n">
        <v>7</v>
      </c>
      <c r="B47" s="6" t="s">
        <v>191</v>
      </c>
      <c r="C47" s="6" t="n">
        <v>283</v>
      </c>
      <c r="D47" s="6" t="n">
        <v>11</v>
      </c>
      <c r="E47" s="6" t="n">
        <v>4</v>
      </c>
    </row>
    <row r="48" customFormat="false" ht="15" hidden="false" customHeight="true" outlineLevel="0" collapsed="false">
      <c r="A48" s="6" t="n">
        <v>8</v>
      </c>
      <c r="B48" s="6" t="s">
        <v>192</v>
      </c>
      <c r="C48" s="6" t="n">
        <v>282</v>
      </c>
      <c r="D48" s="6" t="n">
        <v>10</v>
      </c>
      <c r="E48" s="6" t="n">
        <v>4</v>
      </c>
    </row>
    <row r="49" customFormat="false" ht="15" hidden="false" customHeight="true" outlineLevel="0" collapsed="false">
      <c r="A49" s="6" t="n">
        <v>9</v>
      </c>
      <c r="B49" s="6" t="s">
        <v>193</v>
      </c>
      <c r="C49" s="6" t="n">
        <v>276</v>
      </c>
      <c r="D49" s="6" t="n">
        <v>4</v>
      </c>
      <c r="E49" s="6" t="n">
        <v>4</v>
      </c>
    </row>
    <row r="50" customFormat="false" ht="15" hidden="false" customHeight="true" outlineLevel="0" collapsed="false">
      <c r="A50" s="6" t="n">
        <v>10</v>
      </c>
      <c r="B50" s="6" t="s">
        <v>194</v>
      </c>
      <c r="C50" s="6" t="n">
        <v>276</v>
      </c>
      <c r="D50" s="6" t="n">
        <v>4</v>
      </c>
      <c r="E50" s="6" t="n">
        <v>4</v>
      </c>
    </row>
    <row r="51" customFormat="false" ht="15" hidden="false" customHeight="true" outlineLevel="0" collapsed="false">
      <c r="A51" s="6" t="n">
        <v>11</v>
      </c>
      <c r="B51" s="6" t="s">
        <v>195</v>
      </c>
      <c r="C51" s="6" t="n">
        <v>275</v>
      </c>
      <c r="D51" s="6" t="n">
        <v>3</v>
      </c>
      <c r="E51" s="6" t="n">
        <v>4</v>
      </c>
    </row>
    <row r="52" customFormat="false" ht="15" hidden="false" customHeight="true" outlineLevel="0" collapsed="false">
      <c r="A52" s="6" t="n">
        <v>12</v>
      </c>
      <c r="B52" s="6" t="s">
        <v>196</v>
      </c>
      <c r="C52" s="6" t="n">
        <v>273</v>
      </c>
      <c r="D52" s="6" t="n">
        <v>1</v>
      </c>
      <c r="E52" s="6" t="n">
        <v>4</v>
      </c>
    </row>
    <row r="53" customFormat="false" ht="15" hidden="false" customHeight="true" outlineLevel="0" collapsed="false">
      <c r="A53" s="6" t="n">
        <v>13</v>
      </c>
      <c r="B53" s="6" t="s">
        <v>197</v>
      </c>
      <c r="C53" s="6" t="n">
        <v>273</v>
      </c>
      <c r="D53" s="6" t="n">
        <v>1</v>
      </c>
      <c r="E53" s="6" t="n">
        <v>4</v>
      </c>
    </row>
    <row r="54" customFormat="false" ht="15" hidden="false" customHeight="true" outlineLevel="0" collapsed="false">
      <c r="A54" s="6" t="n">
        <v>14</v>
      </c>
      <c r="B54" s="6" t="s">
        <v>198</v>
      </c>
      <c r="C54" s="6" t="n">
        <v>272</v>
      </c>
      <c r="D54" s="6" t="n">
        <v>0</v>
      </c>
      <c r="E54" s="6" t="n">
        <v>4</v>
      </c>
    </row>
    <row r="55" customFormat="false" ht="15" hidden="false" customHeight="true" outlineLevel="0" collapsed="false">
      <c r="A55" s="6" t="n">
        <v>15</v>
      </c>
      <c r="B55" s="6" t="s">
        <v>199</v>
      </c>
      <c r="C55" s="6" t="n">
        <v>272</v>
      </c>
      <c r="D55" s="6" t="n">
        <v>0</v>
      </c>
      <c r="E55" s="6" t="n">
        <v>4</v>
      </c>
    </row>
    <row r="58" customFormat="false" ht="15" hidden="false" customHeight="true" outlineLevel="0" collapsed="false">
      <c r="A58" s="43" t="s">
        <v>150</v>
      </c>
      <c r="B58" s="43"/>
      <c r="C58" s="43"/>
      <c r="D58" s="43"/>
      <c r="E58" s="43"/>
    </row>
    <row r="59" customFormat="false" ht="15" hidden="false" customHeight="true" outlineLevel="0" collapsed="false">
      <c r="A59" s="44" t="s">
        <v>160</v>
      </c>
      <c r="B59" s="44" t="s">
        <v>161</v>
      </c>
      <c r="C59" s="44" t="s">
        <v>162</v>
      </c>
      <c r="D59" s="44" t="s">
        <v>163</v>
      </c>
      <c r="E59" s="44" t="s">
        <v>164</v>
      </c>
    </row>
    <row r="60" customFormat="false" ht="15" hidden="false" customHeight="true" outlineLevel="0" collapsed="false">
      <c r="A60" s="6" t="n">
        <v>1</v>
      </c>
      <c r="B60" s="6" t="s">
        <v>200</v>
      </c>
      <c r="C60" s="6" t="n">
        <v>280</v>
      </c>
      <c r="D60" s="6" t="n">
        <v>8</v>
      </c>
      <c r="E60" s="6" t="n">
        <v>2</v>
      </c>
    </row>
    <row r="61" customFormat="false" ht="15" hidden="false" customHeight="true" outlineLevel="0" collapsed="false">
      <c r="A61" s="6" t="n">
        <v>2</v>
      </c>
      <c r="B61" s="6" t="s">
        <v>165</v>
      </c>
      <c r="C61" s="6" t="n">
        <v>505</v>
      </c>
      <c r="D61" s="6" t="n">
        <v>233</v>
      </c>
      <c r="E61" s="6" t="n">
        <v>2</v>
      </c>
    </row>
    <row r="62" customFormat="false" ht="15" hidden="false" customHeight="true" outlineLevel="0" collapsed="false">
      <c r="A62" s="6" t="n">
        <v>3</v>
      </c>
      <c r="B62" s="6" t="s">
        <v>201</v>
      </c>
      <c r="C62" s="6" t="n">
        <v>272</v>
      </c>
      <c r="D62" s="6" t="n">
        <v>0</v>
      </c>
      <c r="E62" s="6" t="n">
        <v>4</v>
      </c>
    </row>
    <row r="63" customFormat="false" ht="15" hidden="false" customHeight="true" outlineLevel="0" collapsed="false">
      <c r="A63" s="6" t="n">
        <v>4</v>
      </c>
      <c r="B63" s="6" t="s">
        <v>202</v>
      </c>
      <c r="C63" s="6" t="n">
        <v>272</v>
      </c>
      <c r="D63" s="6" t="n">
        <v>0</v>
      </c>
      <c r="E63" s="6" t="n">
        <v>4</v>
      </c>
    </row>
    <row r="64" customFormat="false" ht="15" hidden="false" customHeight="true" outlineLevel="0" collapsed="false">
      <c r="A64" s="6" t="n">
        <v>5</v>
      </c>
      <c r="B64" s="6" t="s">
        <v>203</v>
      </c>
      <c r="C64" s="6" t="n">
        <v>272</v>
      </c>
      <c r="D64" s="6" t="n">
        <v>0</v>
      </c>
      <c r="E64" s="6" t="n">
        <v>4</v>
      </c>
    </row>
    <row r="65" customFormat="false" ht="15" hidden="false" customHeight="true" outlineLevel="0" collapsed="false">
      <c r="A65" s="6" t="n">
        <v>6</v>
      </c>
      <c r="B65" s="6" t="s">
        <v>199</v>
      </c>
      <c r="C65" s="6" t="n">
        <v>273</v>
      </c>
      <c r="D65" s="6" t="n">
        <v>1</v>
      </c>
      <c r="E65" s="6" t="n">
        <v>4</v>
      </c>
    </row>
    <row r="66" customFormat="false" ht="15" hidden="false" customHeight="true" outlineLevel="0" collapsed="false">
      <c r="A66" s="6" t="n">
        <v>7</v>
      </c>
      <c r="B66" s="6" t="s">
        <v>204</v>
      </c>
      <c r="C66" s="6" t="n">
        <v>273</v>
      </c>
      <c r="D66" s="6" t="n">
        <v>1</v>
      </c>
      <c r="E66" s="6" t="n">
        <v>4</v>
      </c>
    </row>
    <row r="67" customFormat="false" ht="15" hidden="false" customHeight="true" outlineLevel="0" collapsed="false">
      <c r="A67" s="6" t="n">
        <v>8</v>
      </c>
      <c r="B67" s="6" t="s">
        <v>205</v>
      </c>
      <c r="C67" s="6" t="n">
        <v>273</v>
      </c>
      <c r="D67" s="6" t="n">
        <v>1</v>
      </c>
      <c r="E67" s="6" t="n">
        <v>4</v>
      </c>
    </row>
    <row r="68" customFormat="false" ht="15" hidden="false" customHeight="true" outlineLevel="0" collapsed="false">
      <c r="A68" s="6" t="n">
        <v>9</v>
      </c>
      <c r="B68" s="6" t="s">
        <v>206</v>
      </c>
      <c r="C68" s="6" t="n">
        <v>274</v>
      </c>
      <c r="D68" s="6" t="n">
        <v>2</v>
      </c>
      <c r="E68" s="6" t="n">
        <v>4</v>
      </c>
    </row>
    <row r="69" customFormat="false" ht="15" hidden="false" customHeight="true" outlineLevel="0" collapsed="false">
      <c r="A69" s="6" t="n">
        <v>10</v>
      </c>
      <c r="B69" s="6" t="s">
        <v>207</v>
      </c>
      <c r="C69" s="6" t="n">
        <v>272</v>
      </c>
      <c r="D69" s="6" t="n">
        <v>0</v>
      </c>
      <c r="E69" s="6" t="n">
        <v>5</v>
      </c>
    </row>
    <row r="70" customFormat="false" ht="15" hidden="false" customHeight="true" outlineLevel="0" collapsed="false">
      <c r="A70" s="6" t="n">
        <v>11</v>
      </c>
      <c r="B70" s="6" t="s">
        <v>208</v>
      </c>
      <c r="C70" s="6" t="n">
        <v>272</v>
      </c>
      <c r="D70" s="6" t="n">
        <v>0</v>
      </c>
      <c r="E70" s="6" t="n">
        <v>5</v>
      </c>
    </row>
    <row r="71" customFormat="false" ht="15" hidden="false" customHeight="true" outlineLevel="0" collapsed="false">
      <c r="A71" s="6" t="n">
        <v>12</v>
      </c>
      <c r="B71" s="6" t="s">
        <v>209</v>
      </c>
      <c r="C71" s="6" t="n">
        <v>272</v>
      </c>
      <c r="D71" s="6" t="n">
        <v>0</v>
      </c>
      <c r="E71" s="6" t="n">
        <v>5</v>
      </c>
    </row>
    <row r="72" customFormat="false" ht="15" hidden="false" customHeight="true" outlineLevel="0" collapsed="false">
      <c r="A72" s="6" t="n">
        <v>13</v>
      </c>
      <c r="B72" s="6" t="s">
        <v>210</v>
      </c>
      <c r="C72" s="6" t="n">
        <v>272</v>
      </c>
      <c r="D72" s="6" t="n">
        <v>0</v>
      </c>
      <c r="E72" s="6" t="n">
        <v>5</v>
      </c>
    </row>
    <row r="73" customFormat="false" ht="15" hidden="false" customHeight="true" outlineLevel="0" collapsed="false">
      <c r="A73" s="6" t="n">
        <v>14</v>
      </c>
      <c r="B73" s="6" t="s">
        <v>211</v>
      </c>
      <c r="C73" s="6" t="n">
        <v>272</v>
      </c>
      <c r="D73" s="6" t="n">
        <v>0</v>
      </c>
      <c r="E73" s="6" t="n">
        <v>5</v>
      </c>
    </row>
    <row r="74" customFormat="false" ht="15" hidden="false" customHeight="true" outlineLevel="0" collapsed="false">
      <c r="A74" s="6" t="n">
        <v>15</v>
      </c>
      <c r="B74" s="6" t="s">
        <v>212</v>
      </c>
      <c r="C74" s="6" t="n">
        <v>272</v>
      </c>
      <c r="D74" s="6" t="n">
        <v>0</v>
      </c>
      <c r="E74" s="6" t="n">
        <v>5</v>
      </c>
    </row>
    <row r="75" customFormat="false" ht="15" hidden="false" customHeight="true" outlineLevel="0" collapsed="false">
      <c r="A75" s="6" t="n">
        <v>16</v>
      </c>
      <c r="B75" s="6" t="s">
        <v>213</v>
      </c>
      <c r="C75" s="6" t="n">
        <v>272</v>
      </c>
      <c r="D75" s="6" t="n">
        <v>0</v>
      </c>
      <c r="E75" s="6" t="n">
        <v>5</v>
      </c>
    </row>
    <row r="76" customFormat="false" ht="15" hidden="false" customHeight="true" outlineLevel="0" collapsed="false">
      <c r="A76" s="6" t="n">
        <v>17</v>
      </c>
      <c r="B76" s="6" t="s">
        <v>214</v>
      </c>
      <c r="C76" s="6" t="n">
        <v>272</v>
      </c>
      <c r="D76" s="6" t="n">
        <v>0</v>
      </c>
      <c r="E76" s="6" t="n">
        <v>5</v>
      </c>
    </row>
    <row r="77" customFormat="false" ht="15" hidden="false" customHeight="true" outlineLevel="0" collapsed="false">
      <c r="A77" s="6" t="n">
        <v>18</v>
      </c>
      <c r="B77" s="6" t="s">
        <v>215</v>
      </c>
      <c r="C77" s="6" t="n">
        <v>272</v>
      </c>
      <c r="D77" s="6" t="n">
        <v>0</v>
      </c>
      <c r="E77" s="6" t="n">
        <v>5</v>
      </c>
    </row>
    <row r="78" customFormat="false" ht="15" hidden="false" customHeight="true" outlineLevel="0" collapsed="false">
      <c r="A78" s="6" t="n">
        <v>19</v>
      </c>
      <c r="B78" s="6" t="s">
        <v>216</v>
      </c>
      <c r="C78" s="6" t="n">
        <v>272</v>
      </c>
      <c r="D78" s="6" t="n">
        <v>0</v>
      </c>
      <c r="E78" s="6" t="n">
        <v>5</v>
      </c>
    </row>
    <row r="79" customFormat="false" ht="15" hidden="false" customHeight="true" outlineLevel="0" collapsed="false">
      <c r="A79" s="6" t="n">
        <v>20</v>
      </c>
      <c r="B79" s="6" t="s">
        <v>217</v>
      </c>
      <c r="C79" s="6" t="n">
        <v>272</v>
      </c>
      <c r="D79" s="6" t="n">
        <v>0</v>
      </c>
      <c r="E79" s="6" t="n">
        <v>5</v>
      </c>
    </row>
    <row r="80" customFormat="false" ht="15" hidden="false" customHeight="true" outlineLevel="0" collapsed="false">
      <c r="A80" s="37" t="s">
        <v>218</v>
      </c>
      <c r="B80" s="37"/>
      <c r="C80" s="37"/>
      <c r="D80" s="37"/>
      <c r="E80" s="37"/>
    </row>
    <row r="83" customFormat="false" ht="15" hidden="false" customHeight="true" outlineLevel="0" collapsed="false">
      <c r="A83" s="43" t="s">
        <v>151</v>
      </c>
      <c r="B83" s="43"/>
      <c r="C83" s="43"/>
      <c r="D83" s="43"/>
      <c r="E83" s="43"/>
    </row>
    <row r="84" customFormat="false" ht="15" hidden="false" customHeight="true" outlineLevel="0" collapsed="false">
      <c r="A84" s="44" t="s">
        <v>160</v>
      </c>
      <c r="B84" s="44" t="s">
        <v>161</v>
      </c>
      <c r="C84" s="44" t="s">
        <v>162</v>
      </c>
      <c r="D84" s="44" t="s">
        <v>163</v>
      </c>
      <c r="E84" s="44" t="s">
        <v>164</v>
      </c>
    </row>
    <row r="85" customFormat="false" ht="15" hidden="false" customHeight="true" outlineLevel="0" collapsed="false">
      <c r="A85" s="6" t="n">
        <v>1</v>
      </c>
      <c r="B85" s="6" t="s">
        <v>219</v>
      </c>
      <c r="C85" s="6" t="n">
        <v>276</v>
      </c>
      <c r="D85" s="6" t="n">
        <v>4</v>
      </c>
      <c r="E85" s="6" t="n">
        <v>2</v>
      </c>
    </row>
    <row r="86" customFormat="false" ht="15" hidden="false" customHeight="true" outlineLevel="0" collapsed="false">
      <c r="A86" s="6" t="n">
        <v>2</v>
      </c>
      <c r="B86" s="6" t="s">
        <v>165</v>
      </c>
      <c r="C86" s="6" t="n">
        <v>495</v>
      </c>
      <c r="D86" s="6" t="n">
        <v>223</v>
      </c>
      <c r="E86" s="6" t="n">
        <v>2</v>
      </c>
    </row>
    <row r="87" customFormat="false" ht="15" hidden="false" customHeight="true" outlineLevel="0" collapsed="false">
      <c r="A87" s="6" t="n">
        <v>3</v>
      </c>
      <c r="B87" s="6" t="s">
        <v>220</v>
      </c>
      <c r="C87" s="6" t="n">
        <v>272</v>
      </c>
      <c r="D87" s="6" t="n">
        <v>0</v>
      </c>
      <c r="E87" s="6" t="n">
        <v>3</v>
      </c>
    </row>
    <row r="88" customFormat="false" ht="15" hidden="false" customHeight="true" outlineLevel="0" collapsed="false">
      <c r="A88" s="6" t="n">
        <v>4</v>
      </c>
      <c r="B88" s="6" t="s">
        <v>221</v>
      </c>
      <c r="C88" s="6" t="n">
        <v>275</v>
      </c>
      <c r="D88" s="6" t="n">
        <v>3</v>
      </c>
      <c r="E88" s="6" t="n">
        <v>3</v>
      </c>
    </row>
    <row r="89" customFormat="false" ht="15" hidden="false" customHeight="true" outlineLevel="0" collapsed="false">
      <c r="A89" s="6" t="n">
        <v>5</v>
      </c>
      <c r="B89" s="6" t="s">
        <v>222</v>
      </c>
      <c r="C89" s="6" t="n">
        <v>272</v>
      </c>
      <c r="D89" s="6" t="n">
        <v>0</v>
      </c>
      <c r="E89" s="6" t="n">
        <v>4</v>
      </c>
    </row>
    <row r="90" customFormat="false" ht="15" hidden="false" customHeight="true" outlineLevel="0" collapsed="false">
      <c r="A90" s="6" t="n">
        <v>6</v>
      </c>
      <c r="B90" s="6" t="s">
        <v>223</v>
      </c>
      <c r="C90" s="6" t="n">
        <v>272</v>
      </c>
      <c r="D90" s="6" t="n">
        <v>0</v>
      </c>
      <c r="E90" s="6" t="n">
        <v>4</v>
      </c>
    </row>
    <row r="91" customFormat="false" ht="15" hidden="false" customHeight="true" outlineLevel="0" collapsed="false">
      <c r="A91" s="6" t="n">
        <v>7</v>
      </c>
      <c r="B91" s="6" t="s">
        <v>224</v>
      </c>
      <c r="C91" s="6" t="n">
        <v>272</v>
      </c>
      <c r="D91" s="6" t="n">
        <v>0</v>
      </c>
      <c r="E91" s="6" t="n">
        <v>4</v>
      </c>
    </row>
    <row r="92" customFormat="false" ht="15" hidden="false" customHeight="true" outlineLevel="0" collapsed="false">
      <c r="A92" s="6" t="n">
        <v>8</v>
      </c>
      <c r="B92" s="6" t="s">
        <v>225</v>
      </c>
      <c r="C92" s="6" t="n">
        <v>272</v>
      </c>
      <c r="D92" s="6" t="n">
        <v>0</v>
      </c>
      <c r="E92" s="6" t="n">
        <v>4</v>
      </c>
    </row>
    <row r="93" customFormat="false" ht="15" hidden="false" customHeight="true" outlineLevel="0" collapsed="false">
      <c r="A93" s="6" t="n">
        <v>9</v>
      </c>
      <c r="B93" s="6" t="s">
        <v>226</v>
      </c>
      <c r="C93" s="6" t="n">
        <v>272</v>
      </c>
      <c r="D93" s="6" t="n">
        <v>0</v>
      </c>
      <c r="E93" s="6" t="n">
        <v>4</v>
      </c>
    </row>
    <row r="94" customFormat="false" ht="15" hidden="false" customHeight="true" outlineLevel="0" collapsed="false">
      <c r="A94" s="6" t="n">
        <v>10</v>
      </c>
      <c r="B94" s="6" t="s">
        <v>227</v>
      </c>
      <c r="C94" s="6" t="n">
        <v>272</v>
      </c>
      <c r="D94" s="6" t="n">
        <v>0</v>
      </c>
      <c r="E94" s="6" t="n">
        <v>4</v>
      </c>
    </row>
    <row r="95" customFormat="false" ht="15" hidden="false" customHeight="true" outlineLevel="0" collapsed="false">
      <c r="A95" s="6" t="n">
        <v>11</v>
      </c>
      <c r="B95" s="6" t="s">
        <v>228</v>
      </c>
      <c r="C95" s="6" t="n">
        <v>272</v>
      </c>
      <c r="D95" s="6" t="n">
        <v>0</v>
      </c>
      <c r="E95" s="6" t="n">
        <v>4</v>
      </c>
    </row>
    <row r="96" customFormat="false" ht="15" hidden="false" customHeight="true" outlineLevel="0" collapsed="false">
      <c r="A96" s="6" t="n">
        <v>12</v>
      </c>
      <c r="B96" s="6" t="s">
        <v>229</v>
      </c>
      <c r="C96" s="6" t="n">
        <v>272</v>
      </c>
      <c r="D96" s="6" t="n">
        <v>0</v>
      </c>
      <c r="E96" s="6" t="n">
        <v>4</v>
      </c>
    </row>
    <row r="97" customFormat="false" ht="15" hidden="false" customHeight="true" outlineLevel="0" collapsed="false">
      <c r="A97" s="6" t="n">
        <v>13</v>
      </c>
      <c r="B97" s="6" t="s">
        <v>230</v>
      </c>
      <c r="C97" s="6" t="n">
        <v>272</v>
      </c>
      <c r="D97" s="6" t="n">
        <v>0</v>
      </c>
      <c r="E97" s="6" t="n">
        <v>4</v>
      </c>
    </row>
    <row r="98" customFormat="false" ht="15" hidden="false" customHeight="true" outlineLevel="0" collapsed="false">
      <c r="A98" s="6" t="n">
        <v>14</v>
      </c>
      <c r="B98" s="6" t="s">
        <v>231</v>
      </c>
      <c r="C98" s="6" t="n">
        <v>272</v>
      </c>
      <c r="D98" s="6" t="n">
        <v>0</v>
      </c>
      <c r="E98" s="6" t="n">
        <v>4</v>
      </c>
    </row>
    <row r="99" customFormat="false" ht="15" hidden="false" customHeight="true" outlineLevel="0" collapsed="false">
      <c r="A99" s="6" t="n">
        <v>15</v>
      </c>
      <c r="B99" s="6" t="s">
        <v>232</v>
      </c>
      <c r="C99" s="6" t="n">
        <v>272</v>
      </c>
      <c r="D99" s="6" t="n">
        <v>0</v>
      </c>
      <c r="E99" s="6" t="n">
        <v>4</v>
      </c>
    </row>
    <row r="100" customFormat="false" ht="15" hidden="false" customHeight="true" outlineLevel="0" collapsed="false">
      <c r="A100" s="6" t="n">
        <v>16</v>
      </c>
      <c r="B100" s="6" t="s">
        <v>233</v>
      </c>
      <c r="C100" s="6" t="n">
        <v>272</v>
      </c>
      <c r="D100" s="6" t="n">
        <v>0</v>
      </c>
      <c r="E100" s="6" t="n">
        <v>4</v>
      </c>
    </row>
    <row r="101" customFormat="false" ht="15" hidden="false" customHeight="true" outlineLevel="0" collapsed="false">
      <c r="A101" s="6" t="n">
        <v>17</v>
      </c>
      <c r="B101" s="6" t="s">
        <v>234</v>
      </c>
      <c r="C101" s="6" t="n">
        <v>272</v>
      </c>
      <c r="D101" s="6" t="n">
        <v>0</v>
      </c>
      <c r="E101" s="6" t="n">
        <v>4</v>
      </c>
    </row>
    <row r="102" customFormat="false" ht="15" hidden="false" customHeight="true" outlineLevel="0" collapsed="false">
      <c r="A102" s="6" t="n">
        <v>18</v>
      </c>
      <c r="B102" s="6" t="s">
        <v>235</v>
      </c>
      <c r="C102" s="6" t="n">
        <v>272</v>
      </c>
      <c r="D102" s="6" t="n">
        <v>0</v>
      </c>
      <c r="E102" s="6" t="n">
        <v>4</v>
      </c>
    </row>
    <row r="103" customFormat="false" ht="15" hidden="false" customHeight="true" outlineLevel="0" collapsed="false">
      <c r="A103" s="6" t="n">
        <v>19</v>
      </c>
      <c r="B103" s="6" t="s">
        <v>236</v>
      </c>
      <c r="C103" s="6" t="n">
        <v>272</v>
      </c>
      <c r="D103" s="6" t="n">
        <v>0</v>
      </c>
      <c r="E103" s="6" t="n">
        <v>4</v>
      </c>
    </row>
    <row r="104" customFormat="false" ht="15" hidden="false" customHeight="true" outlineLevel="0" collapsed="false">
      <c r="A104" s="6" t="n">
        <v>20</v>
      </c>
      <c r="B104" s="6" t="s">
        <v>237</v>
      </c>
      <c r="C104" s="6" t="n">
        <v>273</v>
      </c>
      <c r="D104" s="6" t="n">
        <v>1</v>
      </c>
      <c r="E104" s="6" t="n">
        <v>4</v>
      </c>
    </row>
    <row r="105" customFormat="false" ht="15" hidden="false" customHeight="true" outlineLevel="0" collapsed="false">
      <c r="A105" s="37" t="s">
        <v>238</v>
      </c>
      <c r="B105" s="37"/>
      <c r="C105" s="37"/>
      <c r="D105" s="37"/>
      <c r="E105" s="37"/>
    </row>
  </sheetData>
  <mergeCells count="11">
    <mergeCell ref="A1:E1"/>
    <mergeCell ref="A2:E2"/>
    <mergeCell ref="A4:E4"/>
    <mergeCell ref="A9:E9"/>
    <mergeCell ref="A14:E14"/>
    <mergeCell ref="A36:E36"/>
    <mergeCell ref="A39:E39"/>
    <mergeCell ref="A58:E58"/>
    <mergeCell ref="A80:E80"/>
    <mergeCell ref="A83:E83"/>
    <mergeCell ref="A105:E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6"/>
  </cols>
  <sheetData>
    <row r="1" customFormat="false" ht="17.25" hidden="false" customHeight="true" outlineLevel="0" collapsed="false">
      <c r="A1" s="36" t="s">
        <v>239</v>
      </c>
      <c r="B1" s="36"/>
      <c r="C1" s="36"/>
      <c r="D1" s="36"/>
      <c r="E1" s="36"/>
      <c r="F1" s="36"/>
      <c r="G1" s="36"/>
      <c r="H1" s="36"/>
    </row>
    <row r="2" customFormat="false" ht="15" hidden="false" customHeight="true" outlineLevel="0" collapsed="false">
      <c r="A2" s="37" t="s">
        <v>240</v>
      </c>
      <c r="B2" s="37"/>
      <c r="C2" s="37"/>
      <c r="D2" s="37"/>
      <c r="E2" s="37"/>
      <c r="F2" s="37"/>
      <c r="G2" s="37"/>
      <c r="H2" s="37"/>
    </row>
    <row r="4" customFormat="false" ht="15" hidden="false" customHeight="true" outlineLevel="0" collapsed="false">
      <c r="A4" s="5" t="s">
        <v>146</v>
      </c>
      <c r="B4" s="5" t="s">
        <v>241</v>
      </c>
      <c r="C4" s="5" t="s">
        <v>12</v>
      </c>
      <c r="D4" s="5" t="s">
        <v>242</v>
      </c>
      <c r="E4" s="5" t="s">
        <v>243</v>
      </c>
      <c r="F4" s="5" t="s">
        <v>244</v>
      </c>
      <c r="G4" s="5" t="s">
        <v>245</v>
      </c>
    </row>
    <row r="5" customFormat="false" ht="15" hidden="false" customHeight="true" outlineLevel="0" collapsed="false">
      <c r="A5" s="6" t="s">
        <v>10</v>
      </c>
      <c r="B5" s="45" t="n">
        <v>1</v>
      </c>
      <c r="C5" s="45" t="n">
        <v>1</v>
      </c>
      <c r="D5" s="45" t="n">
        <v>0.206</v>
      </c>
      <c r="E5" s="45" t="n">
        <v>0.322</v>
      </c>
      <c r="F5" s="45" t="n">
        <v>0.369</v>
      </c>
      <c r="G5" s="45" t="n">
        <v>0.083</v>
      </c>
    </row>
    <row r="6" customFormat="false" ht="15" hidden="false" customHeight="true" outlineLevel="0" collapsed="false">
      <c r="A6" s="6" t="s">
        <v>14</v>
      </c>
      <c r="B6" s="45" t="n">
        <v>0</v>
      </c>
      <c r="C6" s="45" t="n">
        <v>0</v>
      </c>
      <c r="D6" s="45" t="n">
        <v>0.355</v>
      </c>
      <c r="E6" s="45" t="n">
        <v>0.22</v>
      </c>
      <c r="F6" s="45" t="n">
        <v>0.202</v>
      </c>
      <c r="G6" s="45" t="n">
        <v>0.573</v>
      </c>
    </row>
    <row r="7" customFormat="false" ht="15" hidden="false" customHeight="true" outlineLevel="0" collapsed="false">
      <c r="A7" s="6" t="s">
        <v>74</v>
      </c>
      <c r="B7" s="45" t="n">
        <v>0</v>
      </c>
      <c r="C7" s="45" t="n">
        <v>0</v>
      </c>
      <c r="D7" s="45" t="n">
        <v>0.193</v>
      </c>
      <c r="E7" s="45" t="n">
        <v>0.153</v>
      </c>
      <c r="F7" s="45" t="n">
        <v>0.202</v>
      </c>
      <c r="G7" s="45" t="n">
        <v>0.083</v>
      </c>
    </row>
    <row r="8" customFormat="false" ht="15" hidden="false" customHeight="true" outlineLevel="0" collapsed="false">
      <c r="A8" s="6" t="s">
        <v>75</v>
      </c>
      <c r="B8" s="45" t="n">
        <v>0</v>
      </c>
      <c r="C8" s="45" t="n">
        <v>0</v>
      </c>
      <c r="D8" s="45" t="n">
        <v>0.083</v>
      </c>
      <c r="E8" s="45" t="n">
        <v>0.085</v>
      </c>
      <c r="F8" s="45" t="n">
        <v>0.081</v>
      </c>
      <c r="G8" s="45" t="n">
        <v>0.074</v>
      </c>
    </row>
    <row r="9" customFormat="false" ht="15" hidden="false" customHeight="true" outlineLevel="0" collapsed="false">
      <c r="A9" s="6" t="s">
        <v>153</v>
      </c>
      <c r="B9" s="45"/>
      <c r="C9" s="45"/>
      <c r="D9" s="45"/>
      <c r="E9" s="45" t="n">
        <v>0.085</v>
      </c>
      <c r="F9" s="45"/>
      <c r="G9" s="45"/>
    </row>
    <row r="10" customFormat="false" ht="15" hidden="false" customHeight="true" outlineLevel="0" collapsed="false">
      <c r="A10" s="6" t="s">
        <v>154</v>
      </c>
      <c r="B10" s="45"/>
      <c r="C10" s="45"/>
      <c r="D10" s="45"/>
      <c r="E10" s="45" t="n">
        <v>0.085</v>
      </c>
      <c r="F10" s="45"/>
      <c r="G10" s="45"/>
    </row>
    <row r="11" customFormat="false" ht="15" hidden="false" customHeight="true" outlineLevel="0" collapsed="false">
      <c r="A11" s="6" t="s">
        <v>76</v>
      </c>
      <c r="B11" s="45" t="n">
        <v>0</v>
      </c>
      <c r="C11" s="45" t="n">
        <v>0</v>
      </c>
      <c r="D11" s="45"/>
      <c r="E11" s="45"/>
      <c r="F11" s="45"/>
      <c r="G11" s="45" t="n">
        <v>0.06</v>
      </c>
    </row>
    <row r="12" customFormat="false" ht="15" hidden="false" customHeight="true" outlineLevel="0" collapsed="false">
      <c r="A12" s="6" t="s">
        <v>78</v>
      </c>
      <c r="B12" s="45" t="n">
        <v>0</v>
      </c>
      <c r="C12" s="45" t="n">
        <v>0</v>
      </c>
      <c r="D12" s="45" t="n">
        <v>0.057</v>
      </c>
      <c r="E12" s="45"/>
      <c r="F12" s="45" t="n">
        <v>0.039</v>
      </c>
      <c r="G12" s="45" t="n">
        <v>0.028</v>
      </c>
    </row>
    <row r="13" customFormat="false" ht="15" hidden="false" customHeight="true" outlineLevel="0" collapsed="false">
      <c r="A13" s="6" t="s">
        <v>77</v>
      </c>
      <c r="B13" s="45" t="n">
        <v>0</v>
      </c>
      <c r="C13" s="45" t="n">
        <v>0</v>
      </c>
      <c r="D13" s="45" t="n">
        <v>0.026</v>
      </c>
      <c r="E13" s="45" t="n">
        <v>0.051</v>
      </c>
      <c r="F13" s="45" t="n">
        <v>0.023</v>
      </c>
      <c r="G13" s="45" t="n">
        <v>0.021</v>
      </c>
    </row>
    <row r="14" customFormat="false" ht="15" hidden="false" customHeight="true" outlineLevel="0" collapsed="false">
      <c r="A14" s="6" t="s">
        <v>80</v>
      </c>
      <c r="B14" s="45" t="n">
        <v>0</v>
      </c>
      <c r="C14" s="45" t="n">
        <v>0</v>
      </c>
      <c r="D14" s="45" t="n">
        <v>0.026</v>
      </c>
      <c r="E14" s="45"/>
      <c r="F14" s="45" t="n">
        <v>0.023</v>
      </c>
      <c r="G14" s="45" t="n">
        <v>0.015</v>
      </c>
    </row>
    <row r="15" customFormat="false" ht="15" hidden="false" customHeight="true" outlineLevel="0" collapsed="false">
      <c r="A15" s="6" t="s">
        <v>79</v>
      </c>
      <c r="B15" s="45" t="n">
        <v>0</v>
      </c>
      <c r="C15" s="45" t="n">
        <v>0</v>
      </c>
      <c r="D15" s="45" t="n">
        <v>0.026</v>
      </c>
      <c r="E15" s="45"/>
      <c r="F15" s="45" t="n">
        <v>0.023</v>
      </c>
      <c r="G15" s="45" t="n">
        <v>0.015</v>
      </c>
    </row>
    <row r="16" customFormat="false" ht="15" hidden="false" customHeight="true" outlineLevel="0" collapsed="false">
      <c r="A16" s="6" t="s">
        <v>81</v>
      </c>
      <c r="B16" s="45" t="n">
        <v>0</v>
      </c>
      <c r="C16" s="45" t="n">
        <v>0</v>
      </c>
      <c r="D16" s="45" t="n">
        <v>0.013</v>
      </c>
      <c r="E16" s="45"/>
      <c r="F16" s="45" t="n">
        <v>0.012</v>
      </c>
      <c r="G16" s="45" t="n">
        <v>0.015</v>
      </c>
    </row>
    <row r="17" customFormat="false" ht="15" hidden="false" customHeight="true" outlineLevel="0" collapsed="false">
      <c r="A17" s="6" t="s">
        <v>83</v>
      </c>
      <c r="B17" s="45" t="n">
        <v>0</v>
      </c>
      <c r="C17" s="45" t="n">
        <v>0</v>
      </c>
      <c r="D17" s="45" t="n">
        <v>0.013</v>
      </c>
      <c r="E17" s="45"/>
      <c r="F17" s="45" t="n">
        <v>0.012</v>
      </c>
      <c r="G17" s="45" t="n">
        <v>0.015</v>
      </c>
    </row>
    <row r="18" customFormat="false" ht="15" hidden="false" customHeight="true" outlineLevel="0" collapsed="false">
      <c r="A18" s="6" t="s">
        <v>82</v>
      </c>
      <c r="B18" s="45" t="n">
        <v>0</v>
      </c>
      <c r="C18" s="45" t="n">
        <v>0</v>
      </c>
      <c r="D18" s="45"/>
      <c r="E18" s="45"/>
      <c r="F18" s="45" t="n">
        <v>0.012</v>
      </c>
      <c r="G18" s="45" t="n">
        <v>0.015</v>
      </c>
    </row>
    <row r="19" customFormat="false" ht="15" hidden="false" customHeight="true" outlineLevel="0" collapsed="false">
      <c r="A19" s="6" t="s">
        <v>152</v>
      </c>
      <c r="B19" s="45" t="n">
        <v>0</v>
      </c>
      <c r="C19" s="45"/>
      <c r="D19" s="45"/>
      <c r="E19" s="45"/>
      <c r="F19" s="45"/>
      <c r="G19" s="45"/>
    </row>
    <row r="22" customFormat="false" ht="15" hidden="false" customHeight="true" outlineLevel="0" collapsed="false">
      <c r="A22" s="44" t="s">
        <v>3</v>
      </c>
      <c r="B22" s="44" t="s">
        <v>10</v>
      </c>
      <c r="C22" s="44" t="s">
        <v>14</v>
      </c>
      <c r="D22" s="44" t="s">
        <v>74</v>
      </c>
    </row>
    <row r="23" customFormat="false" ht="15" hidden="false" customHeight="true" outlineLevel="0" collapsed="false">
      <c r="A23" s="6" t="s">
        <v>241</v>
      </c>
      <c r="B23" s="46" t="n">
        <v>1</v>
      </c>
      <c r="C23" s="46" t="n">
        <v>0</v>
      </c>
      <c r="D23" s="46" t="n">
        <v>0</v>
      </c>
    </row>
    <row r="24" customFormat="false" ht="15" hidden="false" customHeight="true" outlineLevel="0" collapsed="false">
      <c r="A24" s="6" t="s">
        <v>12</v>
      </c>
      <c r="B24" s="46" t="n">
        <v>1</v>
      </c>
      <c r="C24" s="46" t="n">
        <v>0</v>
      </c>
      <c r="D24" s="46" t="n">
        <v>0</v>
      </c>
    </row>
    <row r="25" customFormat="false" ht="15" hidden="false" customHeight="true" outlineLevel="0" collapsed="false">
      <c r="A25" s="6" t="s">
        <v>242</v>
      </c>
      <c r="B25" s="46" t="n">
        <v>0.206</v>
      </c>
      <c r="C25" s="46" t="n">
        <v>0.355</v>
      </c>
      <c r="D25" s="46" t="n">
        <v>0.193</v>
      </c>
    </row>
    <row r="26" customFormat="false" ht="15" hidden="false" customHeight="true" outlineLevel="0" collapsed="false">
      <c r="A26" s="6" t="s">
        <v>243</v>
      </c>
      <c r="B26" s="46" t="n">
        <v>0.322</v>
      </c>
      <c r="C26" s="46" t="n">
        <v>0.22</v>
      </c>
      <c r="D26" s="46" t="n">
        <v>0.153</v>
      </c>
    </row>
    <row r="27" customFormat="false" ht="15" hidden="false" customHeight="true" outlineLevel="0" collapsed="false">
      <c r="A27" s="6" t="s">
        <v>244</v>
      </c>
      <c r="B27" s="46" t="n">
        <v>0.369</v>
      </c>
      <c r="C27" s="46" t="n">
        <v>0.202</v>
      </c>
      <c r="D27" s="46" t="n">
        <v>0.202</v>
      </c>
    </row>
    <row r="28" customFormat="false" ht="15" hidden="false" customHeight="true" outlineLevel="0" collapsed="false">
      <c r="A28" s="6" t="s">
        <v>245</v>
      </c>
      <c r="B28" s="46" t="n">
        <v>0.083</v>
      </c>
      <c r="C28" s="46" t="n">
        <v>0.573</v>
      </c>
      <c r="D28" s="46" t="n">
        <v>0.083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2026-06-29T14:31:37Z</dcterms:created>
  <dc:creator>openpyxl</dc:creator>
  <dc:description/>
  <dc:language>en-US</dc:language>
  <cp:lastModifiedBy/>
  <dcterms:modified xsi:type="dcterms:W3CDTF">2026-06-29T14:41:32Z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